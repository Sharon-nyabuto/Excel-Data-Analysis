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de7d4a1065fab06a/SHARON STUFF/Data Analysis/Data Science and Analytics- Luxdev/Completed Projects/"/>
    </mc:Choice>
  </mc:AlternateContent>
  <xr:revisionPtr revIDLastSave="0" documentId="8_{9812D3AE-B32D-422B-A978-58E6281CD53A}" xr6:coauthVersionLast="47" xr6:coauthVersionMax="47" xr10:uidLastSave="{00000000-0000-0000-0000-000000000000}"/>
  <bookViews>
    <workbookView xWindow="-110" yWindow="-110" windowWidth="19420" windowHeight="10300" activeTab="4" xr2:uid="{EB9D2F0C-F5B5-438E-98DE-30DE804455D2}"/>
  </bookViews>
  <sheets>
    <sheet name="Raw_Jumia Data" sheetId="5" r:id="rId1"/>
    <sheet name="Cleaned_Jumia Data" sheetId="1" r:id="rId2"/>
    <sheet name="Pivot_tables" sheetId="3" r:id="rId3"/>
    <sheet name="Charts" sheetId="2" r:id="rId4"/>
    <sheet name="Dashboard" sheetId="4" r:id="rId5"/>
  </sheets>
  <definedNames>
    <definedName name="_xlnm._FilterDatabase" localSheetId="1" hidden="1">'Cleaned_Jumia Data'!$I$1:$I$113</definedName>
    <definedName name="Slicer_Discount_Category">#N/A</definedName>
    <definedName name="Slicer_Rating_Category">#N/A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N12" i="1"/>
  <c r="N11" i="1"/>
  <c r="N10" i="1"/>
  <c r="M10" i="1"/>
  <c r="M12" i="1"/>
  <c r="M11" i="1"/>
  <c r="L7" i="1"/>
  <c r="L6" i="1"/>
  <c r="O4" i="1" l="1"/>
  <c r="N4" i="1"/>
  <c r="M4" i="1"/>
  <c r="L4"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2" i="1"/>
  <c r="M17" i="1" l="1"/>
  <c r="M16" i="1"/>
  <c r="M15" i="1"/>
</calcChain>
</file>

<file path=xl/sharedStrings.xml><?xml version="1.0" encoding="utf-8"?>
<sst xmlns="http://schemas.openxmlformats.org/spreadsheetml/2006/main" count="856" uniqueCount="368">
  <si>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</si>
  <si>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</si>
  <si>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</si>
  <si>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</si>
  <si>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</si>
  <si>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</si>
  <si>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</si>
  <si>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</si>
  <si>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</si>
  <si>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</si>
  <si>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</si>
  <si>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</si>
  <si>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</si>
  <si>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</si>
  <si>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</si>
  <si>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</si>
  <si>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</si>
  <si>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</si>
  <si>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</si>
  <si>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</si>
  <si>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</si>
  <si>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</si>
  <si>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</si>
  <si>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</si>
  <si>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</si>
  <si>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</si>
  <si>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</si>
  <si>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</si>
  <si>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</si>
  <si>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</si>
  <si>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</si>
  <si>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</si>
  <si>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</si>
  <si>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</si>
  <si>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</si>
  <si>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</si>
  <si>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</si>
  <si>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</si>
  <si>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</si>
  <si>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</si>
  <si>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</si>
  <si>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</si>
  <si>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</si>
  <si>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</si>
  <si>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</si>
  <si>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</si>
  <si>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</si>
  <si>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</si>
  <si>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</si>
  <si>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</si>
  <si>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</si>
  <si>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</si>
  <si>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</si>
  <si>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</si>
  <si>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</si>
  <si>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</si>
  <si>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</si>
  <si>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</si>
  <si>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</si>
  <si>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</si>
  <si>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</si>
  <si>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</si>
  <si>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</si>
  <si>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</si>
  <si>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</si>
  <si>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</si>
  <si>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</si>
  <si>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</si>
  <si>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</si>
  <si>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</si>
  <si>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</si>
  <si>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</si>
  <si>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</si>
  <si>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</si>
  <si>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</si>
  <si>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</si>
  <si>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</si>
  <si>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</si>
  <si>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</si>
  <si>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</si>
  <si>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</si>
  <si>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</si>
  <si>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</si>
  <si>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</si>
  <si>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</si>
  <si>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</si>
  <si>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</si>
  <si>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</si>
  <si>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</si>
  <si>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</si>
  <si>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</si>
  <si>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</si>
  <si>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</si>
  <si>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</si>
  <si>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</si>
  <si>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</si>
  <si>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</si>
  <si>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</si>
  <si>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</si>
  <si>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</si>
  <si>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</si>
  <si>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</si>
  <si>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</si>
  <si>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</si>
  <si>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</si>
  <si>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</si>
  <si>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</si>
  <si>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</si>
  <si>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</si>
  <si>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</si>
  <si>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</si>
  <si>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</si>
  <si>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</si>
  <si>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Null</t>
  </si>
  <si>
    <t>Current Price</t>
  </si>
  <si>
    <t>Old Price</t>
  </si>
  <si>
    <t>Discount Amount</t>
  </si>
  <si>
    <t>Rating Category</t>
  </si>
  <si>
    <t>Discount Category</t>
  </si>
  <si>
    <t>Average</t>
  </si>
  <si>
    <t>Excellent</t>
  </si>
  <si>
    <t>Most expensive Product</t>
  </si>
  <si>
    <t>Least Expensive Product</t>
  </si>
  <si>
    <t>Category</t>
  </si>
  <si>
    <t>Medium Discount</t>
  </si>
  <si>
    <t>High Discount</t>
  </si>
  <si>
    <t>Low Discount</t>
  </si>
  <si>
    <t>Average Rating</t>
  </si>
  <si>
    <t>Average discount</t>
  </si>
  <si>
    <t>Product Distribution across rating categories</t>
  </si>
  <si>
    <t>Count</t>
  </si>
  <si>
    <t>Poor</t>
  </si>
  <si>
    <t>Row Labels</t>
  </si>
  <si>
    <t>Grand Total</t>
  </si>
  <si>
    <t>Sum of Review</t>
  </si>
  <si>
    <t xml:space="preserve"> Whether higher discounts lead to increased customer engagement  - No </t>
  </si>
  <si>
    <t>Whether higher-rated products tend to have more reviews - No</t>
  </si>
  <si>
    <t>Top 10 Products</t>
  </si>
  <si>
    <t>Reviews</t>
  </si>
  <si>
    <t>Discounts</t>
  </si>
  <si>
    <t>Max of Ratings</t>
  </si>
  <si>
    <t>Products</t>
  </si>
  <si>
    <t>Rating</t>
  </si>
  <si>
    <t>Average of Ratings</t>
  </si>
  <si>
    <t>Average Ratings</t>
  </si>
  <si>
    <t>No. of Reviews</t>
  </si>
  <si>
    <t>Column Labels</t>
  </si>
  <si>
    <t>Count of Product</t>
  </si>
  <si>
    <t>Average of Discount</t>
  </si>
  <si>
    <t>KSh 320</t>
  </si>
  <si>
    <t>KSh 169</t>
  </si>
  <si>
    <t>2 out of 5</t>
  </si>
  <si>
    <t>KSh 900</t>
  </si>
  <si>
    <t>KSh 450</t>
  </si>
  <si>
    <t>KSh 553</t>
  </si>
  <si>
    <t>KSh 199</t>
  </si>
  <si>
    <t>KSh 1,799</t>
  </si>
  <si>
    <t>KSh 1,768</t>
  </si>
  <si>
    <t>KSh 1,699</t>
  </si>
  <si>
    <t>KSh 1,658</t>
  </si>
  <si>
    <t>KSh 1,810</t>
  </si>
  <si>
    <t>KSh 1,190</t>
  </si>
  <si>
    <t>KSh 1,737</t>
  </si>
  <si>
    <t>KSh 1,150</t>
  </si>
  <si>
    <t>KSh 260</t>
  </si>
  <si>
    <t>KSh 198</t>
  </si>
  <si>
    <t>KSh 1,899</t>
  </si>
  <si>
    <t>KSh 1,875</t>
  </si>
  <si>
    <t>KSh 2,420</t>
  </si>
  <si>
    <t>KSh 1,420</t>
  </si>
  <si>
    <t>5 out of 5</t>
  </si>
  <si>
    <t>KSh 4,588</t>
  </si>
  <si>
    <t>KSh 3,640</t>
  </si>
  <si>
    <t>KSh 1,874</t>
  </si>
  <si>
    <t>KSh 1,080</t>
  </si>
  <si>
    <t>KSh 1,029</t>
  </si>
  <si>
    <t>KSh 525</t>
  </si>
  <si>
    <t>KSh 3,699</t>
  </si>
  <si>
    <t>KSh 3,546</t>
  </si>
  <si>
    <t>KSh 486</t>
  </si>
  <si>
    <t>KSh 248</t>
  </si>
  <si>
    <t>KSh 1,499</t>
  </si>
  <si>
    <t>KSh 1,462</t>
  </si>
  <si>
    <t>KSh 1,660</t>
  </si>
  <si>
    <t>KSh 1,526</t>
  </si>
  <si>
    <t>KSh 2,400</t>
  </si>
  <si>
    <t>KSh 1,200</t>
  </si>
  <si>
    <t>KSh 899</t>
  </si>
  <si>
    <t>KSh 200</t>
  </si>
  <si>
    <t>KSh 105</t>
  </si>
  <si>
    <t>KSh 2,500</t>
  </si>
  <si>
    <t>KSh 1,300</t>
  </si>
  <si>
    <t>KSh 1,700</t>
  </si>
  <si>
    <t>KSh 850</t>
  </si>
  <si>
    <t>KSh 1,100</t>
  </si>
  <si>
    <t>KSh 630</t>
  </si>
  <si>
    <t>KSh 1,468</t>
  </si>
  <si>
    <t>KSh 1,288</t>
  </si>
  <si>
    <t>KSh 657</t>
  </si>
  <si>
    <t>KSh 799</t>
  </si>
  <si>
    <t>KSh 537</t>
  </si>
  <si>
    <t>KSh 274</t>
  </si>
  <si>
    <t>KSh 1,466</t>
  </si>
  <si>
    <t>KSh 345</t>
  </si>
  <si>
    <t>KSh 176</t>
  </si>
  <si>
    <t>KSh 1,060</t>
  </si>
  <si>
    <t>KSh 610</t>
  </si>
  <si>
    <t>4 out of 5</t>
  </si>
  <si>
    <t>KSh 647</t>
  </si>
  <si>
    <t>KSh 330</t>
  </si>
  <si>
    <t>KSh 1,666</t>
  </si>
  <si>
    <t>KSh 2,290</t>
  </si>
  <si>
    <t>KSh 1,460</t>
  </si>
  <si>
    <t>KSh 1,920</t>
  </si>
  <si>
    <t>KSh 979</t>
  </si>
  <si>
    <t>3 out of 5</t>
  </si>
  <si>
    <t>KSh 2,199</t>
  </si>
  <si>
    <t>KSh 1,189</t>
  </si>
  <si>
    <t>KSh 230</t>
  </si>
  <si>
    <t>KSh 1,732</t>
  </si>
  <si>
    <t>KSh 690</t>
  </si>
  <si>
    <t>KSh 1,485</t>
  </si>
  <si>
    <t>KSh 790</t>
  </si>
  <si>
    <t>2.1 out of 5</t>
  </si>
  <si>
    <t>KSh 2,988</t>
  </si>
  <si>
    <t>KSh 1,570</t>
  </si>
  <si>
    <t>2.2 out of 5</t>
  </si>
  <si>
    <t>KSh 1,814</t>
  </si>
  <si>
    <t>KSh 968</t>
  </si>
  <si>
    <t>KSh 509</t>
  </si>
  <si>
    <t>2.3 out of 5</t>
  </si>
  <si>
    <t>KSh 602</t>
  </si>
  <si>
    <t>KSh 3,240</t>
  </si>
  <si>
    <t>KSh 2,300</t>
  </si>
  <si>
    <t>2.6 out of 5</t>
  </si>
  <si>
    <t>KSh 700</t>
  </si>
  <si>
    <t>KSh 382</t>
  </si>
  <si>
    <t>KSh 6,143</t>
  </si>
  <si>
    <t>KSh 3,750</t>
  </si>
  <si>
    <t>KSh 2,000</t>
  </si>
  <si>
    <t>KSh 1,000</t>
  </si>
  <si>
    <t>KSh 990</t>
  </si>
  <si>
    <t>2.9 out of 5</t>
  </si>
  <si>
    <t>KSh 1,555</t>
  </si>
  <si>
    <t>KSh 1,220</t>
  </si>
  <si>
    <t>2.7 out of 5</t>
  </si>
  <si>
    <t>KSh 680</t>
  </si>
  <si>
    <t>KSh 325</t>
  </si>
  <si>
    <t>2.8 out of 5</t>
  </si>
  <si>
    <t>KSh 873</t>
  </si>
  <si>
    <t>KSh 445</t>
  </si>
  <si>
    <t>KSh 4,700</t>
  </si>
  <si>
    <t>KSh 2,115</t>
  </si>
  <si>
    <t>KSh 986</t>
  </si>
  <si>
    <t>KSh 458</t>
  </si>
  <si>
    <t>2.5 out of 5</t>
  </si>
  <si>
    <t>KSh 2,170</t>
  </si>
  <si>
    <t>KSh 896</t>
  </si>
  <si>
    <t>KSh 399</t>
  </si>
  <si>
    <t>KSh 3,810</t>
  </si>
  <si>
    <t>KSh 2,799</t>
  </si>
  <si>
    <t>KSh 1,567</t>
  </si>
  <si>
    <t>KSh 1,343</t>
  </si>
  <si>
    <t>KSh 699</t>
  </si>
  <si>
    <t>KSh 499</t>
  </si>
  <si>
    <t>KSh 1,459</t>
  </si>
  <si>
    <t>KSh 384</t>
  </si>
  <si>
    <t>KSh 299</t>
  </si>
  <si>
    <t>KSh 600</t>
  </si>
  <si>
    <t>KSh 504</t>
  </si>
  <si>
    <t>KSh 1,950</t>
  </si>
  <si>
    <t>KSh 1,316</t>
  </si>
  <si>
    <t>KSh 671</t>
  </si>
  <si>
    <t>KSh 1,785</t>
  </si>
  <si>
    <t>KSh 999</t>
  </si>
  <si>
    <t>KSh 2,169</t>
  </si>
  <si>
    <t>KSh 2,132</t>
  </si>
  <si>
    <t>KSh 476</t>
  </si>
  <si>
    <t>KSh 238</t>
  </si>
  <si>
    <t>KSh 931</t>
  </si>
  <si>
    <t>KSh 475</t>
  </si>
  <si>
    <t>KSh 4,471</t>
  </si>
  <si>
    <t>KSh 2,750</t>
  </si>
  <si>
    <t>4.5 out of 5</t>
  </si>
  <si>
    <t>KSh 2,200 - KSh 3,200</t>
  </si>
  <si>
    <t>KSh 1,620 - KSh 1,980</t>
  </si>
  <si>
    <t>4.3 out of 5</t>
  </si>
  <si>
    <t>KSh 656</t>
  </si>
  <si>
    <t>KSh 389</t>
  </si>
  <si>
    <t>KSh 360</t>
  </si>
  <si>
    <t>KSh 171</t>
  </si>
  <si>
    <t>KSh 2,690</t>
  </si>
  <si>
    <t>KSh 1,620</t>
  </si>
  <si>
    <t>KSh 2,699</t>
  </si>
  <si>
    <t>KSh 1,980</t>
  </si>
  <si>
    <t>4.7 out of 5</t>
  </si>
  <si>
    <t>KSh 2,650</t>
  </si>
  <si>
    <t>KSh 1,940</t>
  </si>
  <si>
    <t>KSh 3,490</t>
  </si>
  <si>
    <t>KSh 1,820</t>
  </si>
  <si>
    <t>KSh 1,490</t>
  </si>
  <si>
    <t>KSh 980</t>
  </si>
  <si>
    <t>KSh 185</t>
  </si>
  <si>
    <t>KSh 4,080</t>
  </si>
  <si>
    <t>KSh 2,200</t>
  </si>
  <si>
    <t>4.1 out of 5</t>
  </si>
  <si>
    <t>KSh 2,499</t>
  </si>
  <si>
    <t>KSh 1,758</t>
  </si>
  <si>
    <t>3.8 out of 5</t>
  </si>
  <si>
    <t>KSh 1,990</t>
  </si>
  <si>
    <t>KSh 1,350</t>
  </si>
  <si>
    <t>KSh 3,520</t>
  </si>
  <si>
    <t>KSh 2,880</t>
  </si>
  <si>
    <t>4.6 out of 5</t>
  </si>
  <si>
    <t>KSh 420</t>
  </si>
  <si>
    <t>KSh 4,500</t>
  </si>
  <si>
    <t>KSh 2,048</t>
  </si>
  <si>
    <t>4.4 out of 5</t>
  </si>
  <si>
    <t>KSh 2,150</t>
  </si>
  <si>
    <t>KSh 1,650</t>
  </si>
  <si>
    <t>KSh 880</t>
  </si>
  <si>
    <t>KSh 3,220</t>
  </si>
  <si>
    <t>KSh 1,860</t>
  </si>
  <si>
    <t>3.3 out of 5</t>
  </si>
  <si>
    <t>KSh 80</t>
  </si>
  <si>
    <t>KSh 38</t>
  </si>
  <si>
    <t>KSh 1,966</t>
  </si>
  <si>
    <t>KSh 998</t>
  </si>
  <si>
    <t>KSh 2,999</t>
  </si>
  <si>
    <t>KSh 3,971</t>
  </si>
  <si>
    <t>KSh 2,025</t>
  </si>
  <si>
    <t>KSh 195</t>
  </si>
  <si>
    <t>KSh 684</t>
  </si>
  <si>
    <t>KSh 332</t>
  </si>
  <si>
    <t>4.2 out of 5</t>
  </si>
  <si>
    <t>KSh 1,680</t>
  </si>
  <si>
    <t>KSh 860</t>
  </si>
  <si>
    <t>KSh 501</t>
  </si>
  <si>
    <t>4.8 out of 5</t>
  </si>
  <si>
    <t>KSh 1,035</t>
  </si>
  <si>
    <t>KSh 552</t>
  </si>
  <si>
    <t>KSh 1,500</t>
  </si>
  <si>
    <t>KSh 2,929</t>
  </si>
  <si>
    <t>KSh 1,600</t>
  </si>
  <si>
    <t>KSh 2,800</t>
  </si>
  <si>
    <t>KSh 1,274</t>
  </si>
  <si>
    <t>KSh 1,580</t>
  </si>
  <si>
    <t>KSh 988</t>
  </si>
  <si>
    <t>KSh 3,032</t>
  </si>
  <si>
    <t>KSh 2,319</t>
  </si>
  <si>
    <t>KSh 3,290</t>
  </si>
  <si>
    <t>KSh 2,356</t>
  </si>
  <si>
    <t>KSh 1,740</t>
  </si>
  <si>
    <t>KSh 2,923</t>
  </si>
  <si>
    <t>KSh 527</t>
  </si>
  <si>
    <t>KSh 1,525</t>
  </si>
  <si>
    <t>KSh 950</t>
  </si>
  <si>
    <t>Ratingd</t>
  </si>
  <si>
    <t>old price</t>
  </si>
  <si>
    <t>Current price</t>
  </si>
  <si>
    <t>Total Revenue</t>
  </si>
  <si>
    <t>Average order value</t>
  </si>
  <si>
    <t>Number of Reviews</t>
  </si>
  <si>
    <t>Max of Current Price</t>
  </si>
  <si>
    <t>Max of Discount</t>
  </si>
  <si>
    <t>Max of Review</t>
  </si>
  <si>
    <t>Not Rated</t>
  </si>
  <si>
    <t>Avg Discount &amp; Rating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</si>
</sst>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Red]#,##0.00"/>
    <numFmt numFmtId="165" formatCode="0.0"/>
    <numFmt numFmtId="166" formatCode="#,##0.0;[Red]#,##0.0"/>
    <numFmt numFmtId="167" formatCode="0.00;[Red]0.00"/>
    <numFmt numFmtId="168" formatCode="#,##0;[Red]#,##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000000"/>
      <name val="Times New Roman"/>
      <family val="1"/>
    </font>
    <font>
      <b/>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F7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165" fontId="16" fillId="0" borderId="0" xfId="0" applyNumberFormat="1" applyFont="1"/>
    <xf numFmtId="165" fontId="0" fillId="0" borderId="0" xfId="0" applyNumberFormat="1"/>
    <xf numFmtId="9" fontId="16" fillId="0" borderId="0" xfId="1" applyFont="1"/>
    <xf numFmtId="9" fontId="0" fillId="0" borderId="0" xfId="1" applyFont="1"/>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left" vertical="center" indent="2"/>
    </xf>
    <xf numFmtId="0" fontId="18" fillId="0" borderId="0" xfId="0" applyFont="1" applyAlignment="1">
      <alignment horizontal="left" vertical="center" indent="2"/>
    </xf>
    <xf numFmtId="167" fontId="0" fillId="0" borderId="0" xfId="0" applyNumberFormat="1"/>
    <xf numFmtId="0" fontId="0" fillId="33" borderId="0" xfId="0" applyFill="1"/>
    <xf numFmtId="168"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font>
        <color rgb="FF9C0006"/>
      </font>
      <fill>
        <patternFill>
          <bgColor rgb="FFFFC7CE"/>
        </patternFill>
      </fill>
    </dxf>
    <dxf>
      <font>
        <color rgb="FF9C0006"/>
      </font>
      <fill>
        <patternFill>
          <bgColor rgb="FFFFC7CE"/>
        </patternFill>
      </fill>
    </dxf>
    <dxf>
      <numFmt numFmtId="168" formatCode="#,##0;[Red]#,##0"/>
    </dxf>
    <dxf>
      <font>
        <b/>
        <i val="0"/>
        <strike val="0"/>
        <sz val="12"/>
        <color theme="0"/>
      </font>
      <fill>
        <patternFill>
          <bgColor rgb="FFFF8C42"/>
        </patternFill>
      </fill>
    </dxf>
    <dxf>
      <font>
        <strike val="0"/>
        <color theme="1"/>
      </font>
      <fill>
        <patternFill>
          <bgColor theme="0"/>
        </patternFill>
      </fill>
    </dxf>
  </dxfs>
  <tableStyles count="1" defaultTableStyle="TableStyleMedium2" defaultPivotStyle="PivotStyleLight16">
    <tableStyle name="Slicer Style 1" pivot="0" table="0" count="6" xr9:uid="{1395EA21-0B16-40A4-B885-4D556DA5B296}">
      <tableStyleElement type="wholeTable" dxfId="4"/>
      <tableStyleElement type="headerRow" dxfId="3"/>
    </tableStyle>
  </tableStyles>
  <colors>
    <mruColors>
      <color rgb="FF333333"/>
      <color rgb="FFF57C00"/>
      <color rgb="FFE85D04"/>
      <color rgb="FFF7F7F7"/>
      <color rgb="FFFFF3E0"/>
      <color rgb="FFF5F5F5"/>
      <color rgb="FFFF6B00"/>
      <color rgb="FFFF8C42"/>
      <color rgb="FFEE8F04"/>
      <color rgb="FFEEA358"/>
    </mruColors>
  </colors>
  <extLst>
    <ext xmlns:x14="http://schemas.microsoft.com/office/spreadsheetml/2009/9/main" uri="{46F421CA-312F-682f-3DD2-61675219B42D}">
      <x14:dxfs count="4">
        <dxf>
          <font>
            <b/>
            <i val="0"/>
            <strike val="0"/>
            <sz val="12"/>
            <color theme="1"/>
          </font>
          <fill>
            <patternFill>
              <bgColor rgb="FFE85D04"/>
            </patternFill>
          </fill>
        </dxf>
        <dxf>
          <fill>
            <patternFill>
              <bgColor rgb="FFFFF3E0"/>
            </patternFill>
          </fill>
        </dxf>
        <dxf>
          <font>
            <b/>
            <i val="0"/>
            <strike val="0"/>
            <sz val="12"/>
            <color theme="0"/>
          </font>
          <fill>
            <patternFill>
              <bgColor rgb="FFFF6B00"/>
            </patternFill>
          </fill>
          <border diagonalUp="0" diagonalDown="0">
            <left/>
            <right/>
            <top/>
            <bottom/>
            <vertical/>
            <horizontal/>
          </border>
        </dxf>
        <dxf>
          <font>
            <b/>
            <i val="0"/>
            <strike val="0"/>
            <sz val="12"/>
            <color rgb="FF333333"/>
          </font>
          <fill>
            <patternFill>
              <bgColor rgb="FFF5F5F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discount percentage and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'Cleaned_Jumia Data'!$G$1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alpha val="93000"/>
                  </a:schemeClr>
                </a:solidFill>
                <a:prstDash val="sysDot"/>
              </a:ln>
              <a:effectLst/>
            </c:spPr>
            <c:trendlineType val="linear"/>
            <c:dispRSqr val="1"/>
            <c:dispEq val="0"/>
            <c:trendlineLbl>
              <c:layout>
                <c:manualLayout>
                  <c:x val="8.2065913131826262E-2"/>
                  <c:y val="-4.35180922035875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'Cleaned_Jumia Data'!$E$2:$E$113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'Cleaned_Jumia Data'!$G$2:$G$113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A7C5-455E-85A8-C3C6C40E32F6}"/>
            </c:ext>
          </c:extLst>
        </c:ser>
        <c:dLbls>
          <c:showLegendKey val="0"/>
          <c:showVal val="0"/>
          <c:showCatName val="0"/>
          <c:showSerName val="0"/>
          <c:showPercent val="0"/>
          <c:showBubbleSize val="0"/>
        </c:dLbls>
        <c:axId val="1380448463"/>
        <c:axId val="1380447503"/>
      </c:scatterChart>
      <c:valAx>
        <c:axId val="1380448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0447503"/>
        <c:crosses val="autoZero"/>
        <c:crossBetween val="midCat"/>
      </c:valAx>
      <c:valAx>
        <c:axId val="1380447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0448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[Excel_jumia.xlsx]Pivot_tables!PivotTable3</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Relationship</a:t>
            </a:r>
            <a:r>
              <a:rPr lang="en-US" sz="1600" baseline="0"/>
              <a:t> between ratings and number of Reviews </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c:f>
              <c:strCache>
                <c:ptCount val="1"/>
                <c:pt idx="0">
                  <c:v>Total</c:v>
                </c:pt>
              </c:strCache>
            </c:strRef>
          </c:tx>
          <c:spPr>
            <a:solidFill>
              <a:schemeClr val="accent1"/>
            </a:solidFill>
            <a:ln>
              <a:noFill/>
            </a:ln>
            <a:effectLst/>
          </c:spPr>
          <c:invertIfNegative val="0"/>
          <c:cat>
            <c:strRef>
              <c:f>Pivot_tables!$A$7:$A$30</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Null</c:v>
                </c:pt>
              </c:strCache>
            </c:strRef>
          </c:cat>
          <c:val>
            <c:numRef>
              <c:f>Pivot_tables!$B$7:$B$30</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6F0C-4CE5-9104-76D90AB01C59}"/>
            </c:ext>
          </c:extLst>
        </c:ser>
        <c:dLbls>
          <c:showLegendKey val="0"/>
          <c:showVal val="0"/>
          <c:showCatName val="0"/>
          <c:showSerName val="0"/>
          <c:showPercent val="0"/>
          <c:showBubbleSize val="0"/>
        </c:dLbls>
        <c:gapWidth val="219"/>
        <c:overlap val="-27"/>
        <c:axId val="1091095759"/>
        <c:axId val="1091094799"/>
      </c:barChart>
      <c:catAx>
        <c:axId val="1091095759"/>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Ratings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1094799"/>
        <c:crosses val="autoZero"/>
        <c:auto val="1"/>
        <c:lblAlgn val="ctr"/>
        <c:lblOffset val="100"/>
        <c:noMultiLvlLbl val="0"/>
      </c:catAx>
      <c:valAx>
        <c:axId val="109109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Number Of Reviews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10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[Excel_jumia.xlsx]Pivot_tables!PivotTable8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between high and low discount products based on average ratings and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Pivot_tables!$B$86</c:f>
              <c:strCache>
                <c:ptCount val="1"/>
                <c:pt idx="0">
                  <c:v>Average Ratings</c:v>
                </c:pt>
              </c:strCache>
            </c:strRef>
          </c:tx>
          <c:spPr>
            <a:solidFill>
              <a:schemeClr val="accent1"/>
            </a:solidFill>
            <a:ln>
              <a:noFill/>
            </a:ln>
            <a:effectLst/>
          </c:spPr>
          <c:invertIfNegative val="0"/>
          <c:cat>
            <c:strRef>
              <c:f>Pivot_tables!$A$87:$A$89</c:f>
              <c:strCache>
                <c:ptCount val="2"/>
                <c:pt idx="0">
                  <c:v>High Discount</c:v>
                </c:pt>
                <c:pt idx="1">
                  <c:v>Low Discount</c:v>
                </c:pt>
              </c:strCache>
            </c:strRef>
          </c:cat>
          <c:val>
            <c:numRef>
              <c:f>Pivot_tables!$B$87:$B$89</c:f>
              <c:numCache>
                <c:formatCode>0.00;[Red]0.00</c:formatCode>
                <c:ptCount val="2"/>
                <c:pt idx="0">
                  <c:v>3.6580645161290311</c:v>
                </c:pt>
                <c:pt idx="1">
                  <c:v>3.7249999999999996</c:v>
                </c:pt>
              </c:numCache>
            </c:numRef>
          </c:val>
          <c:extLst>
            <c:ext xmlns:c16="http://schemas.microsoft.com/office/drawing/2014/chart" uri="{C3380CC4-5D6E-409C-BE32-E72D297353CC}">
              <c16:uniqueId val="{00000000-0010-4389-9213-CCF71523F84D}"/>
            </c:ext>
          </c:extLst>
        </c:ser>
        <c:ser>
          <c:idx val="1"/>
          <c:order val="1"/>
          <c:tx>
            <c:strRef>
              <c:f>Pivot_tables!$C$86</c:f>
              <c:strCache>
                <c:ptCount val="1"/>
                <c:pt idx="0">
                  <c:v>No. of Reviews</c:v>
                </c:pt>
              </c:strCache>
            </c:strRef>
          </c:tx>
          <c:spPr>
            <a:solidFill>
              <a:schemeClr val="accent2"/>
            </a:solidFill>
            <a:ln>
              <a:noFill/>
            </a:ln>
            <a:effectLst/>
          </c:spPr>
          <c:invertIfNegative val="0"/>
          <c:cat>
            <c:strRef>
              <c:f>Pivot_tables!$A$87:$A$89</c:f>
              <c:strCache>
                <c:ptCount val="2"/>
                <c:pt idx="0">
                  <c:v>High Discount</c:v>
                </c:pt>
                <c:pt idx="1">
                  <c:v>Low Discount</c:v>
                </c:pt>
              </c:strCache>
            </c:strRef>
          </c:cat>
          <c:val>
            <c:numRef>
              <c:f>Pivot_tables!$C$87:$C$89</c:f>
              <c:numCache>
                <c:formatCode>General</c:formatCode>
                <c:ptCount val="2"/>
                <c:pt idx="0">
                  <c:v>63</c:v>
                </c:pt>
                <c:pt idx="1">
                  <c:v>18</c:v>
                </c:pt>
              </c:numCache>
            </c:numRef>
          </c:val>
          <c:extLst>
            <c:ext xmlns:c16="http://schemas.microsoft.com/office/drawing/2014/chart" uri="{C3380CC4-5D6E-409C-BE32-E72D297353CC}">
              <c16:uniqueId val="{00000001-0010-4389-9213-CCF71523F84D}"/>
            </c:ext>
          </c:extLst>
        </c:ser>
        <c:dLbls>
          <c:showLegendKey val="0"/>
          <c:showVal val="0"/>
          <c:showCatName val="0"/>
          <c:showSerName val="0"/>
          <c:showPercent val="0"/>
          <c:showBubbleSize val="0"/>
        </c:dLbls>
        <c:gapWidth val="182"/>
        <c:axId val="279875503"/>
        <c:axId val="279875983"/>
      </c:barChart>
      <c:catAx>
        <c:axId val="27987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79875983"/>
        <c:crosses val="autoZero"/>
        <c:auto val="1"/>
        <c:lblAlgn val="ctr"/>
        <c:lblOffset val="100"/>
        <c:noMultiLvlLbl val="0"/>
      </c:catAx>
      <c:valAx>
        <c:axId val="279875983"/>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7987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Pivot_tables!$B$77</c:f>
              <c:strCache>
                <c:ptCount val="1"/>
                <c:pt idx="0">
                  <c:v>Total</c:v>
                </c:pt>
              </c:strCache>
            </c:strRef>
          </c:tx>
          <c:spPr>
            <a:solidFill>
              <a:schemeClr val="accent1"/>
            </a:solidFill>
            <a:ln>
              <a:noFill/>
            </a:ln>
            <a:effectLst/>
          </c:spPr>
          <c:invertIfNegative val="0"/>
          <c:cat>
            <c:strRef>
              <c:f>Pivot_tables!$A$78:$A$83</c:f>
              <c:strCache>
                <c:ptCount val="5"/>
                <c:pt idx="0">
                  <c:v>5-PCS Stainless Steel Cooking Pot Set With Steamed Slices</c:v>
                </c:pt>
                <c:pt idx="1">
                  <c:v>7-piece Set Of Storage Bags, Travel Storage Bags, Shoe Bags</c:v>
                </c:pt>
                <c:pt idx="2">
                  <c:v>Artificial Potted Flowers Room Decorative Flowers (2 Pieces)</c:v>
                </c:pt>
                <c:pt idx="3">
                  <c:v>Electric LED UV Mosquito Killer Lamp, Outdoor/Indoor Fly Killer Trap Light -USB</c:v>
                </c:pt>
                <c:pt idx="4">
                  <c:v>Wall-mounted Sticker Punch-free Plug Fixer</c:v>
                </c:pt>
              </c:strCache>
            </c:strRef>
          </c:cat>
          <c:val>
            <c:numRef>
              <c:f>Pivot_tables!$B$78:$B$83</c:f>
              <c:numCache>
                <c:formatCode>General</c:formatCode>
                <c:ptCount val="5"/>
                <c:pt idx="0">
                  <c:v>2.1</c:v>
                </c:pt>
                <c:pt idx="1">
                  <c:v>2.2000000000000002</c:v>
                </c:pt>
                <c:pt idx="2">
                  <c:v>2.2000000000000002</c:v>
                </c:pt>
                <c:pt idx="3">
                  <c:v>2.1</c:v>
                </c:pt>
                <c:pt idx="4">
                  <c:v>2</c:v>
                </c:pt>
              </c:numCache>
            </c:numRef>
          </c:val>
          <c:extLst>
            <c:ext xmlns:c16="http://schemas.microsoft.com/office/drawing/2014/chart" uri="{C3380CC4-5D6E-409C-BE32-E72D297353CC}">
              <c16:uniqueId val="{00000000-1742-44E9-8A84-9943AA833E8C}"/>
            </c:ext>
          </c:extLst>
        </c:ser>
        <c:dLbls>
          <c:showLegendKey val="0"/>
          <c:showVal val="0"/>
          <c:showCatName val="0"/>
          <c:showSerName val="0"/>
          <c:showPercent val="0"/>
          <c:showBubbleSize val="0"/>
        </c:dLbls>
        <c:gapWidth val="182"/>
        <c:axId val="1034781359"/>
        <c:axId val="1034787599"/>
      </c:barChart>
      <c:catAx>
        <c:axId val="103478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34787599"/>
        <c:crosses val="autoZero"/>
        <c:auto val="1"/>
        <c:lblAlgn val="ctr"/>
        <c:lblOffset val="100"/>
        <c:noMultiLvlLbl val="0"/>
      </c:catAx>
      <c:valAx>
        <c:axId val="103478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347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Pivot_tables!$B$66</c:f>
              <c:strCache>
                <c:ptCount val="1"/>
                <c:pt idx="0">
                  <c:v>Total</c:v>
                </c:pt>
              </c:strCache>
            </c:strRef>
          </c:tx>
          <c:spPr>
            <a:solidFill>
              <a:schemeClr val="accent1"/>
            </a:solidFill>
            <a:ln>
              <a:noFill/>
            </a:ln>
            <a:effectLst/>
          </c:spPr>
          <c:invertIfNegative val="0"/>
          <c:cat>
            <c:strRef>
              <c:f>Pivot_tables!$A$67:$A$74</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Pivot_tables!$B$67:$B$74</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7DEA-495D-A067-4047F55F6C66}"/>
            </c:ext>
          </c:extLst>
        </c:ser>
        <c:dLbls>
          <c:showLegendKey val="0"/>
          <c:showVal val="0"/>
          <c:showCatName val="0"/>
          <c:showSerName val="0"/>
          <c:showPercent val="0"/>
          <c:showBubbleSize val="0"/>
        </c:dLbls>
        <c:gapWidth val="182"/>
        <c:axId val="797664015"/>
        <c:axId val="797666895"/>
      </c:barChart>
      <c:catAx>
        <c:axId val="7976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7666895"/>
        <c:crosses val="autoZero"/>
        <c:auto val="1"/>
        <c:lblAlgn val="ctr"/>
        <c:lblOffset val="100"/>
        <c:noMultiLvlLbl val="0"/>
      </c:catAx>
      <c:valAx>
        <c:axId val="797666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76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[Excel_jumia.xlsx]Pivot_tables!PivotTable3</c:name>
    <c:fmtId val="7"/>
  </c:pivotSource>
  <c:chart>
    <c:title>
      <c:tx>
        <c:rich>
          <a:bodyPr rot="0" spcFirstLastPara="1" vertOverflow="ellipsis" vert="horz" wrap="square" anchor="ctr" anchorCtr="1"/>
          <a:lstStyle/>
          <a:p>
            <a:pPr>
              <a:defRPr sz="1600" b="1" i="0" u="none" strike="noStrike" kern="1200" spc="0" baseline="0">
                <a:solidFill>
                  <a:srgbClr val="333333"/>
                </a:solidFill>
                <a:latin typeface="+mn-lt"/>
                <a:ea typeface="+mn-ea"/>
                <a:cs typeface="+mn-cs"/>
              </a:defRPr>
            </a:pPr>
            <a:r>
              <a:rPr lang="en-US" sz="1600" b="1">
                <a:solidFill>
                  <a:srgbClr val="333333"/>
                </a:solidFill>
              </a:rPr>
              <a:t>Relationship</a:t>
            </a:r>
            <a:r>
              <a:rPr lang="en-US" sz="1600" b="1" baseline="0">
                <a:solidFill>
                  <a:srgbClr val="333333"/>
                </a:solidFill>
              </a:rPr>
              <a:t> between ratings and number of Reviews </a:t>
            </a:r>
            <a:endParaRPr lang="en-US" sz="1600" b="1">
              <a:solidFill>
                <a:srgbClr val="333333"/>
              </a:solidFill>
            </a:endParaRPr>
          </a:p>
        </c:rich>
      </c:tx>
      <c:layout>
        <c:manualLayout>
          <c:xMode val="edge"/>
          <c:yMode val="edge"/>
          <c:x val="0.11368158817137627"/>
          <c:y val="3.416182483322573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c:f>
              <c:strCache>
                <c:ptCount val="1"/>
                <c:pt idx="0">
                  <c:v>Total</c:v>
                </c:pt>
              </c:strCache>
            </c:strRef>
          </c:tx>
          <c:spPr>
            <a:solidFill>
              <a:schemeClr val="accent2"/>
            </a:solidFill>
            <a:ln>
              <a:noFill/>
            </a:ln>
            <a:effectLst/>
          </c:spPr>
          <c:invertIfNegative val="0"/>
          <c:cat>
            <c:strRef>
              <c:f>Pivot_tables!$A$7:$A$30</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Null</c:v>
                </c:pt>
              </c:strCache>
            </c:strRef>
          </c:cat>
          <c:val>
            <c:numRef>
              <c:f>Pivot_tables!$B$7:$B$30</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30CA-487C-A5C8-40423EAC2AE1}"/>
            </c:ext>
          </c:extLst>
        </c:ser>
        <c:dLbls>
          <c:showLegendKey val="0"/>
          <c:showVal val="0"/>
          <c:showCatName val="0"/>
          <c:showSerName val="0"/>
          <c:showPercent val="0"/>
          <c:showBubbleSize val="0"/>
        </c:dLbls>
        <c:gapWidth val="219"/>
        <c:overlap val="-27"/>
        <c:axId val="1091095759"/>
        <c:axId val="1091094799"/>
      </c:barChart>
      <c:catAx>
        <c:axId val="1091095759"/>
        <c:scaling>
          <c:orientation val="minMax"/>
        </c:scaling>
        <c:delete val="0"/>
        <c:axPos val="b"/>
        <c:title>
          <c:tx>
            <c:rich>
              <a:bodyPr rot="0" spcFirstLastPara="1" vertOverflow="ellipsis" vert="horz" wrap="square" anchor="ctr" anchorCtr="1"/>
              <a:lstStyle/>
              <a:p>
                <a:pPr>
                  <a:defRPr sz="1400" b="1" i="0" u="none" strike="noStrike" kern="1200" baseline="0">
                    <a:solidFill>
                      <a:srgbClr val="333333"/>
                    </a:solidFill>
                    <a:latin typeface="+mn-lt"/>
                    <a:ea typeface="+mn-ea"/>
                    <a:cs typeface="+mn-cs"/>
                  </a:defRPr>
                </a:pPr>
                <a:r>
                  <a:rPr lang="en-US" sz="1400" b="1">
                    <a:solidFill>
                      <a:srgbClr val="333333"/>
                    </a:solidFill>
                  </a:rPr>
                  <a:t>Ratings</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333333"/>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333333"/>
                </a:solidFill>
                <a:latin typeface="+mn-lt"/>
                <a:ea typeface="+mn-ea"/>
                <a:cs typeface="+mn-cs"/>
              </a:defRPr>
            </a:pPr>
            <a:endParaRPr lang="en-KE"/>
          </a:p>
        </c:txPr>
        <c:crossAx val="1091094799"/>
        <c:crosses val="autoZero"/>
        <c:auto val="1"/>
        <c:lblAlgn val="ctr"/>
        <c:lblOffset val="100"/>
        <c:noMultiLvlLbl val="0"/>
      </c:catAx>
      <c:valAx>
        <c:axId val="109109479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Number Of Reviews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KE"/>
          </a:p>
        </c:txPr>
        <c:crossAx val="10910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[Excel_jumia.xlsx]Pivot_tables!PivotTable8</c:name>
    <c:fmtId val="9"/>
  </c:pivotSource>
  <c:chart>
    <c:title>
      <c:tx>
        <c:rich>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r>
              <a:rPr lang="en-US" b="1">
                <a:solidFill>
                  <a:srgbClr val="333333"/>
                </a:solidFill>
              </a:rPr>
              <a:t>Comparison between high and low discount products based on average ratings and Discounts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Pivot_tables!$B$86</c:f>
              <c:strCache>
                <c:ptCount val="1"/>
                <c:pt idx="0">
                  <c:v>Average Ratings</c:v>
                </c:pt>
              </c:strCache>
            </c:strRef>
          </c:tx>
          <c:spPr>
            <a:solidFill>
              <a:schemeClr val="accent1"/>
            </a:solidFill>
            <a:ln>
              <a:noFill/>
            </a:ln>
            <a:effectLst/>
          </c:spPr>
          <c:invertIfNegative val="0"/>
          <c:cat>
            <c:strRef>
              <c:f>Pivot_tables!$A$87:$A$89</c:f>
              <c:strCache>
                <c:ptCount val="2"/>
                <c:pt idx="0">
                  <c:v>High Discount</c:v>
                </c:pt>
                <c:pt idx="1">
                  <c:v>Low Discount</c:v>
                </c:pt>
              </c:strCache>
            </c:strRef>
          </c:cat>
          <c:val>
            <c:numRef>
              <c:f>Pivot_tables!$B$87:$B$89</c:f>
              <c:numCache>
                <c:formatCode>0.00;[Red]0.00</c:formatCode>
                <c:ptCount val="2"/>
                <c:pt idx="0">
                  <c:v>3.6580645161290311</c:v>
                </c:pt>
                <c:pt idx="1">
                  <c:v>3.7249999999999996</c:v>
                </c:pt>
              </c:numCache>
            </c:numRef>
          </c:val>
          <c:extLst>
            <c:ext xmlns:c16="http://schemas.microsoft.com/office/drawing/2014/chart" uri="{C3380CC4-5D6E-409C-BE32-E72D297353CC}">
              <c16:uniqueId val="{00000000-D465-406F-AA1C-08C5F0292A3D}"/>
            </c:ext>
          </c:extLst>
        </c:ser>
        <c:ser>
          <c:idx val="1"/>
          <c:order val="1"/>
          <c:tx>
            <c:strRef>
              <c:f>Pivot_tables!$C$86</c:f>
              <c:strCache>
                <c:ptCount val="1"/>
                <c:pt idx="0">
                  <c:v>No. of Reviews</c:v>
                </c:pt>
              </c:strCache>
            </c:strRef>
          </c:tx>
          <c:spPr>
            <a:solidFill>
              <a:schemeClr val="accent2"/>
            </a:solidFill>
            <a:ln>
              <a:noFill/>
            </a:ln>
            <a:effectLst/>
          </c:spPr>
          <c:invertIfNegative val="0"/>
          <c:cat>
            <c:strRef>
              <c:f>Pivot_tables!$A$87:$A$89</c:f>
              <c:strCache>
                <c:ptCount val="2"/>
                <c:pt idx="0">
                  <c:v>High Discount</c:v>
                </c:pt>
                <c:pt idx="1">
                  <c:v>Low Discount</c:v>
                </c:pt>
              </c:strCache>
            </c:strRef>
          </c:cat>
          <c:val>
            <c:numRef>
              <c:f>Pivot_tables!$C$87:$C$89</c:f>
              <c:numCache>
                <c:formatCode>General</c:formatCode>
                <c:ptCount val="2"/>
                <c:pt idx="0">
                  <c:v>63</c:v>
                </c:pt>
                <c:pt idx="1">
                  <c:v>18</c:v>
                </c:pt>
              </c:numCache>
            </c:numRef>
          </c:val>
          <c:extLst>
            <c:ext xmlns:c16="http://schemas.microsoft.com/office/drawing/2014/chart" uri="{C3380CC4-5D6E-409C-BE32-E72D297353CC}">
              <c16:uniqueId val="{00000001-D465-406F-AA1C-08C5F0292A3D}"/>
            </c:ext>
          </c:extLst>
        </c:ser>
        <c:dLbls>
          <c:showLegendKey val="0"/>
          <c:showVal val="0"/>
          <c:showCatName val="0"/>
          <c:showSerName val="0"/>
          <c:showPercent val="0"/>
          <c:showBubbleSize val="0"/>
        </c:dLbls>
        <c:gapWidth val="182"/>
        <c:axId val="279875503"/>
        <c:axId val="279875983"/>
      </c:barChart>
      <c:catAx>
        <c:axId val="27987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333333"/>
                </a:solidFill>
                <a:latin typeface="+mn-lt"/>
                <a:ea typeface="+mn-ea"/>
                <a:cs typeface="+mn-cs"/>
              </a:defRPr>
            </a:pPr>
            <a:endParaRPr lang="en-KE"/>
          </a:p>
        </c:txPr>
        <c:crossAx val="279875983"/>
        <c:crosses val="autoZero"/>
        <c:auto val="1"/>
        <c:lblAlgn val="ctr"/>
        <c:lblOffset val="100"/>
        <c:noMultiLvlLbl val="0"/>
      </c:catAx>
      <c:valAx>
        <c:axId val="279875983"/>
        <c:scaling>
          <c:orientation val="minMax"/>
        </c:scaling>
        <c:delete val="0"/>
        <c:axPos val="l"/>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KE"/>
          </a:p>
        </c:txPr>
        <c:crossAx val="279875503"/>
        <c:crosses val="autoZero"/>
        <c:crossBetween val="between"/>
      </c:valAx>
      <c:spPr>
        <a:noFill/>
        <a:ln>
          <a:noFill/>
        </a:ln>
        <a:effectLst/>
      </c:spPr>
    </c:plotArea>
    <c:legend>
      <c:legendPos val="r"/>
      <c:layout>
        <c:manualLayout>
          <c:xMode val="edge"/>
          <c:yMode val="edge"/>
          <c:x val="0.75106089994504244"/>
          <c:y val="0.54476378067874009"/>
          <c:w val="0.2315118673279867"/>
          <c:h val="0.31649056212569471"/>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333333"/>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[Excel_jumia.xlsx]Pivot_tables!PivotTable7</c:name>
    <c:fmtId val="7"/>
  </c:pivotSource>
  <c:chart>
    <c:title>
      <c:tx>
        <c:rich>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r>
              <a:rPr lang="en-US" b="1">
                <a:solidFill>
                  <a:srgbClr val="333333"/>
                </a:solidFill>
              </a:rPr>
              <a:t>Lowest Rated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Pivot_tables!$B$77</c:f>
              <c:strCache>
                <c:ptCount val="1"/>
                <c:pt idx="0">
                  <c:v>Total</c:v>
                </c:pt>
              </c:strCache>
            </c:strRef>
          </c:tx>
          <c:spPr>
            <a:solidFill>
              <a:schemeClr val="accent2"/>
            </a:solidFill>
            <a:ln>
              <a:noFill/>
            </a:ln>
            <a:effectLst/>
          </c:spPr>
          <c:invertIfNegative val="0"/>
          <c:cat>
            <c:strRef>
              <c:f>Pivot_tables!$A$78:$A$83</c:f>
              <c:strCache>
                <c:ptCount val="5"/>
                <c:pt idx="0">
                  <c:v>5-PCS Stainless Steel Cooking Pot Set With Steamed Slices</c:v>
                </c:pt>
                <c:pt idx="1">
                  <c:v>7-piece Set Of Storage Bags, Travel Storage Bags, Shoe Bags</c:v>
                </c:pt>
                <c:pt idx="2">
                  <c:v>Artificial Potted Flowers Room Decorative Flowers (2 Pieces)</c:v>
                </c:pt>
                <c:pt idx="3">
                  <c:v>Electric LED UV Mosquito Killer Lamp, Outdoor/Indoor Fly Killer Trap Light -USB</c:v>
                </c:pt>
                <c:pt idx="4">
                  <c:v>Wall-mounted Sticker Punch-free Plug Fixer</c:v>
                </c:pt>
              </c:strCache>
            </c:strRef>
          </c:cat>
          <c:val>
            <c:numRef>
              <c:f>Pivot_tables!$B$78:$B$83</c:f>
              <c:numCache>
                <c:formatCode>General</c:formatCode>
                <c:ptCount val="5"/>
                <c:pt idx="0">
                  <c:v>2.1</c:v>
                </c:pt>
                <c:pt idx="1">
                  <c:v>2.2000000000000002</c:v>
                </c:pt>
                <c:pt idx="2">
                  <c:v>2.2000000000000002</c:v>
                </c:pt>
                <c:pt idx="3">
                  <c:v>2.1</c:v>
                </c:pt>
                <c:pt idx="4">
                  <c:v>2</c:v>
                </c:pt>
              </c:numCache>
            </c:numRef>
          </c:val>
          <c:extLst>
            <c:ext xmlns:c16="http://schemas.microsoft.com/office/drawing/2014/chart" uri="{C3380CC4-5D6E-409C-BE32-E72D297353CC}">
              <c16:uniqueId val="{00000000-28CD-40B4-956B-278E10F11515}"/>
            </c:ext>
          </c:extLst>
        </c:ser>
        <c:dLbls>
          <c:showLegendKey val="0"/>
          <c:showVal val="0"/>
          <c:showCatName val="0"/>
          <c:showSerName val="0"/>
          <c:showPercent val="0"/>
          <c:showBubbleSize val="0"/>
        </c:dLbls>
        <c:gapWidth val="182"/>
        <c:axId val="1034781359"/>
        <c:axId val="1034787599"/>
      </c:barChart>
      <c:catAx>
        <c:axId val="103478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KE"/>
          </a:p>
        </c:txPr>
        <c:crossAx val="1034787599"/>
        <c:crosses val="autoZero"/>
        <c:auto val="1"/>
        <c:lblAlgn val="ctr"/>
        <c:lblOffset val="100"/>
        <c:noMultiLvlLbl val="0"/>
      </c:catAx>
      <c:valAx>
        <c:axId val="103478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347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[Excel_jumia.xlsx]Pivot_tables!PivotTable6</c:name>
    <c:fmtId val="7"/>
  </c:pivotSource>
  <c:chart>
    <c:title>
      <c:tx>
        <c:rich>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r>
              <a:rPr lang="en-US" b="1">
                <a:solidFill>
                  <a:srgbClr val="333333"/>
                </a:solidFill>
              </a:rPr>
              <a:t>Highest Rated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Pivot_tables!$B$66</c:f>
              <c:strCache>
                <c:ptCount val="1"/>
                <c:pt idx="0">
                  <c:v>Total</c:v>
                </c:pt>
              </c:strCache>
            </c:strRef>
          </c:tx>
          <c:spPr>
            <a:solidFill>
              <a:schemeClr val="accent2"/>
            </a:solidFill>
            <a:ln>
              <a:noFill/>
            </a:ln>
            <a:effectLst/>
          </c:spPr>
          <c:invertIfNegative val="0"/>
          <c:cat>
            <c:strRef>
              <c:f>Pivot_tables!$A$67:$A$74</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Pivot_tables!$B$67:$B$74</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3-250E-4DBC-AC7B-4B1991BA5B2F}"/>
            </c:ext>
          </c:extLst>
        </c:ser>
        <c:dLbls>
          <c:showLegendKey val="0"/>
          <c:showVal val="0"/>
          <c:showCatName val="0"/>
          <c:showSerName val="0"/>
          <c:showPercent val="0"/>
          <c:showBubbleSize val="0"/>
        </c:dLbls>
        <c:gapWidth val="182"/>
        <c:axId val="797664015"/>
        <c:axId val="797666895"/>
      </c:barChart>
      <c:catAx>
        <c:axId val="7976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KE"/>
          </a:p>
        </c:txPr>
        <c:crossAx val="797666895"/>
        <c:crosses val="autoZero"/>
        <c:auto val="1"/>
        <c:lblAlgn val="ctr"/>
        <c:lblOffset val="100"/>
        <c:noMultiLvlLbl val="0"/>
      </c:catAx>
      <c:valAx>
        <c:axId val="79766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76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Relationship</a:t>
            </a:r>
            <a:r>
              <a:rPr lang="en-US" b="1" baseline="0">
                <a:solidFill>
                  <a:schemeClr val="tx1"/>
                </a:solidFill>
              </a:rPr>
              <a:t> between discount percentage and Number of reviews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'Cleaned_Jumia Data'!$G$1</c:f>
              <c:strCache>
                <c:ptCount val="1"/>
                <c:pt idx="0">
                  <c:v>Review</c:v>
                </c:pt>
              </c:strCache>
            </c:strRef>
          </c:tx>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rgbClr val="333333"/>
                </a:solidFill>
                <a:prstDash val="solid"/>
              </a:ln>
              <a:effectLst/>
            </c:spPr>
            <c:trendlineType val="linear"/>
            <c:dispRSqr val="1"/>
            <c:dispEq val="0"/>
            <c:trendlineLbl>
              <c:layout>
                <c:manualLayout>
                  <c:x val="8.2065913131826262E-2"/>
                  <c:y val="-4.35180922035875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'Cleaned_Jumia Data'!$E$2:$E$113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'Cleaned_Jumia Data'!$G$2:$G$113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2-5340-42F0-B547-4FBB71F950EB}"/>
            </c:ext>
          </c:extLst>
        </c:ser>
        <c:dLbls>
          <c:showLegendKey val="0"/>
          <c:showVal val="0"/>
          <c:showCatName val="0"/>
          <c:showSerName val="0"/>
          <c:showPercent val="0"/>
          <c:showBubbleSize val="0"/>
        </c:dLbls>
        <c:axId val="1380448463"/>
        <c:axId val="1380447503"/>
      </c:scatterChart>
      <c:valAx>
        <c:axId val="1380448463"/>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KE"/>
          </a:p>
        </c:txPr>
        <c:crossAx val="1380447503"/>
        <c:crosses val="autoZero"/>
        <c:crossBetween val="midCat"/>
      </c:valAx>
      <c:valAx>
        <c:axId val="1380447503"/>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333333"/>
                </a:solidFill>
                <a:latin typeface="+mn-lt"/>
                <a:ea typeface="+mn-ea"/>
                <a:cs typeface="+mn-cs"/>
              </a:defRPr>
            </a:pPr>
            <a:endParaRPr lang="en-KE"/>
          </a:p>
        </c:txPr>
        <c:crossAx val="1380448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44450</xdr:colOff>
      <xdr:row>97</xdr:row>
      <xdr:rowOff>25400</xdr:rowOff>
    </xdr:from>
    <xdr:to>
      <xdr:col>7</xdr:col>
      <xdr:colOff>781050</xdr:colOff>
      <xdr:row>111</xdr:row>
      <xdr:rowOff>66672</xdr:rowOff>
    </xdr:to>
    <mc:AlternateContent xmlns:mc="http://schemas.openxmlformats.org/markup-compatibility/2006" xmlns:a14="http://schemas.microsoft.com/office/drawing/2010/main">
      <mc:Choice Requires="a14">
        <xdr:graphicFrame macro="">
          <xdr:nvGraphicFramePr>
            <xdr:cNvPr id="5" name="Discount Category">
              <a:extLst>
                <a:ext uri="{FF2B5EF4-FFF2-40B4-BE49-F238E27FC236}">
                  <a16:creationId xmlns:a16="http://schemas.microsoft.com/office/drawing/2014/main" id="{E13BA390-E1FA-3781-C6BE-5FE492E2254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064250" y="178879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81</xdr:row>
      <xdr:rowOff>158750</xdr:rowOff>
    </xdr:from>
    <xdr:to>
      <xdr:col>7</xdr:col>
      <xdr:colOff>793750</xdr:colOff>
      <xdr:row>96</xdr:row>
      <xdr:rowOff>15872</xdr:rowOff>
    </xdr:to>
    <mc:AlternateContent xmlns:mc="http://schemas.openxmlformats.org/markup-compatibility/2006" xmlns:a14="http://schemas.microsoft.com/office/drawing/2010/main">
      <mc:Choice Requires="a14">
        <xdr:graphicFrame macro="">
          <xdr:nvGraphicFramePr>
            <xdr:cNvPr id="6" name="Rating Category">
              <a:extLst>
                <a:ext uri="{FF2B5EF4-FFF2-40B4-BE49-F238E27FC236}">
                  <a16:creationId xmlns:a16="http://schemas.microsoft.com/office/drawing/2014/main" id="{8BCCDF5A-3492-8B1E-457B-AB252623620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6076950" y="150749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322384</xdr:colOff>
      <xdr:row>23</xdr:row>
      <xdr:rowOff>146538</xdr:rowOff>
    </xdr:to>
    <xdr:graphicFrame macro="">
      <xdr:nvGraphicFramePr>
        <xdr:cNvPr id="2" name="Chart 1">
          <a:extLst>
            <a:ext uri="{FF2B5EF4-FFF2-40B4-BE49-F238E27FC236}">
              <a16:creationId xmlns:a16="http://schemas.microsoft.com/office/drawing/2014/main" id="{00F785FD-9927-444A-B9DE-74B8A8523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383646</xdr:colOff>
      <xdr:row>1</xdr:row>
      <xdr:rowOff>119062</xdr:rowOff>
    </xdr:from>
    <xdr:to>
      <xdr:col>28</xdr:col>
      <xdr:colOff>412953</xdr:colOff>
      <xdr:row>22</xdr:row>
      <xdr:rowOff>109702</xdr:rowOff>
    </xdr:to>
    <xdr:graphicFrame macro="">
      <xdr:nvGraphicFramePr>
        <xdr:cNvPr id="5" name="Chart 4">
          <a:extLst>
            <a:ext uri="{FF2B5EF4-FFF2-40B4-BE49-F238E27FC236}">
              <a16:creationId xmlns:a16="http://schemas.microsoft.com/office/drawing/2014/main" id="{C41250D5-04E8-4B75-B2F7-BA629D75F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132291</xdr:rowOff>
    </xdr:from>
    <xdr:to>
      <xdr:col>13</xdr:col>
      <xdr:colOff>305696</xdr:colOff>
      <xdr:row>43</xdr:row>
      <xdr:rowOff>181138</xdr:rowOff>
    </xdr:to>
    <xdr:graphicFrame macro="">
      <xdr:nvGraphicFramePr>
        <xdr:cNvPr id="6" name="Chart 5">
          <a:extLst>
            <a:ext uri="{FF2B5EF4-FFF2-40B4-BE49-F238E27FC236}">
              <a16:creationId xmlns:a16="http://schemas.microsoft.com/office/drawing/2014/main" id="{FDE67657-F6BD-4CB1-B311-0109165BA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443022</xdr:colOff>
      <xdr:row>26</xdr:row>
      <xdr:rowOff>73838</xdr:rowOff>
    </xdr:from>
    <xdr:to>
      <xdr:col>28</xdr:col>
      <xdr:colOff>546396</xdr:colOff>
      <xdr:row>45</xdr:row>
      <xdr:rowOff>14767</xdr:rowOff>
    </xdr:to>
    <xdr:graphicFrame macro="">
      <xdr:nvGraphicFramePr>
        <xdr:cNvPr id="3" name="Chart 2">
          <a:extLst>
            <a:ext uri="{FF2B5EF4-FFF2-40B4-BE49-F238E27FC236}">
              <a16:creationId xmlns:a16="http://schemas.microsoft.com/office/drawing/2014/main" id="{6736409F-9CB2-48F6-BCDF-BC7E950C3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48</xdr:row>
      <xdr:rowOff>0</xdr:rowOff>
    </xdr:from>
    <xdr:to>
      <xdr:col>12</xdr:col>
      <xdr:colOff>191976</xdr:colOff>
      <xdr:row>63</xdr:row>
      <xdr:rowOff>85061</xdr:rowOff>
    </xdr:to>
    <xdr:graphicFrame macro="">
      <xdr:nvGraphicFramePr>
        <xdr:cNvPr id="4" name="Chart 3">
          <a:extLst>
            <a:ext uri="{FF2B5EF4-FFF2-40B4-BE49-F238E27FC236}">
              <a16:creationId xmlns:a16="http://schemas.microsoft.com/office/drawing/2014/main" id="{642B32DB-BDAB-44CB-90BF-350E4F0B6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329712</xdr:colOff>
      <xdr:row>3</xdr:row>
      <xdr:rowOff>15119</xdr:rowOff>
    </xdr:to>
    <xdr:sp macro="" textlink="">
      <xdr:nvSpPr>
        <xdr:cNvPr id="2" name="Rectangle 1">
          <a:extLst>
            <a:ext uri="{FF2B5EF4-FFF2-40B4-BE49-F238E27FC236}">
              <a16:creationId xmlns:a16="http://schemas.microsoft.com/office/drawing/2014/main" id="{08EB1022-08AF-2860-37CF-4E5E861B912F}"/>
            </a:ext>
          </a:extLst>
        </xdr:cNvPr>
        <xdr:cNvSpPr/>
      </xdr:nvSpPr>
      <xdr:spPr>
        <a:xfrm>
          <a:off x="0" y="0"/>
          <a:ext cx="16159355" cy="559405"/>
        </a:xfrm>
        <a:prstGeom prst="rect">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333333"/>
              </a:solidFill>
            </a:rPr>
            <a:t>JUMIA PERFORMANCE DASHBOARD</a:t>
          </a:r>
          <a:r>
            <a:rPr lang="en-US" sz="2400" b="1" baseline="0">
              <a:solidFill>
                <a:srgbClr val="333333"/>
              </a:solidFill>
            </a:rPr>
            <a:t> </a:t>
          </a:r>
          <a:endParaRPr lang="en-KE" sz="2400" b="1">
            <a:solidFill>
              <a:srgbClr val="333333"/>
            </a:solidFill>
          </a:endParaRPr>
        </a:p>
      </xdr:txBody>
    </xdr:sp>
    <xdr:clientData/>
  </xdr:twoCellAnchor>
  <xdr:twoCellAnchor editAs="oneCell">
    <xdr:from>
      <xdr:col>0</xdr:col>
      <xdr:colOff>0</xdr:colOff>
      <xdr:row>0</xdr:row>
      <xdr:rowOff>45357</xdr:rowOff>
    </xdr:from>
    <xdr:to>
      <xdr:col>0</xdr:col>
      <xdr:colOff>935982</xdr:colOff>
      <xdr:row>2</xdr:row>
      <xdr:rowOff>164002</xdr:rowOff>
    </xdr:to>
    <xdr:pic>
      <xdr:nvPicPr>
        <xdr:cNvPr id="3" name="Picture 2">
          <a:extLst>
            <a:ext uri="{FF2B5EF4-FFF2-40B4-BE49-F238E27FC236}">
              <a16:creationId xmlns:a16="http://schemas.microsoft.com/office/drawing/2014/main" id="{F2D94411-3F98-0F96-32B5-77FCD8E1B835}"/>
            </a:ext>
          </a:extLst>
        </xdr:cNvPr>
        <xdr:cNvPicPr>
          <a:picLocks noChangeAspect="1"/>
        </xdr:cNvPicPr>
      </xdr:nvPicPr>
      <xdr:blipFill>
        <a:blip xmlns:r="http://schemas.openxmlformats.org/officeDocument/2006/relationships" r:embed="rId1">
          <a:alphaModFix amt="26000"/>
        </a:blip>
        <a:stretch>
          <a:fillRect/>
        </a:stretch>
      </xdr:blipFill>
      <xdr:spPr>
        <a:xfrm>
          <a:off x="0" y="45357"/>
          <a:ext cx="935982" cy="481502"/>
        </a:xfrm>
        <a:prstGeom prst="rect">
          <a:avLst/>
        </a:prstGeom>
        <a:noFill/>
      </xdr:spPr>
    </xdr:pic>
    <xdr:clientData/>
  </xdr:twoCellAnchor>
  <xdr:twoCellAnchor editAs="oneCell">
    <xdr:from>
      <xdr:col>0</xdr:col>
      <xdr:colOff>0</xdr:colOff>
      <xdr:row>18</xdr:row>
      <xdr:rowOff>83370</xdr:rowOff>
    </xdr:from>
    <xdr:to>
      <xdr:col>2</xdr:col>
      <xdr:colOff>167105</xdr:colOff>
      <xdr:row>28</xdr:row>
      <xdr:rowOff>85480</xdr:rowOff>
    </xdr:to>
    <mc:AlternateContent xmlns:mc="http://schemas.openxmlformats.org/markup-compatibility/2006" xmlns:a14="http://schemas.microsoft.com/office/drawing/2010/main">
      <mc:Choice Requires="a14">
        <xdr:graphicFrame macro="">
          <xdr:nvGraphicFramePr>
            <xdr:cNvPr id="18" name="Discount Category 1">
              <a:extLst>
                <a:ext uri="{FF2B5EF4-FFF2-40B4-BE49-F238E27FC236}">
                  <a16:creationId xmlns:a16="http://schemas.microsoft.com/office/drawing/2014/main" id="{DD5145BB-60DB-48C4-BE75-B8E215E1705F}"/>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3349084"/>
              <a:ext cx="1943627" cy="181639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4219</xdr:rowOff>
    </xdr:from>
    <xdr:to>
      <xdr:col>2</xdr:col>
      <xdr:colOff>71693</xdr:colOff>
      <xdr:row>16</xdr:row>
      <xdr:rowOff>12212</xdr:rowOff>
    </xdr:to>
    <mc:AlternateContent xmlns:mc="http://schemas.openxmlformats.org/markup-compatibility/2006" xmlns:a14="http://schemas.microsoft.com/office/drawing/2010/main">
      <mc:Choice Requires="a14">
        <xdr:graphicFrame macro="">
          <xdr:nvGraphicFramePr>
            <xdr:cNvPr id="19" name="Rating Category 1">
              <a:extLst>
                <a:ext uri="{FF2B5EF4-FFF2-40B4-BE49-F238E27FC236}">
                  <a16:creationId xmlns:a16="http://schemas.microsoft.com/office/drawing/2014/main" id="{75E4505E-1EC6-4C86-835D-7E97B96543DD}"/>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729933"/>
              <a:ext cx="1994836" cy="218513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87179</xdr:colOff>
      <xdr:row>3</xdr:row>
      <xdr:rowOff>122903</xdr:rowOff>
    </xdr:from>
    <xdr:to>
      <xdr:col>16</xdr:col>
      <xdr:colOff>325243</xdr:colOff>
      <xdr:row>9</xdr:row>
      <xdr:rowOff>174113</xdr:rowOff>
    </xdr:to>
    <xdr:sp macro="" textlink="">
      <xdr:nvSpPr>
        <xdr:cNvPr id="12" name="Rectangle 11">
          <a:extLst>
            <a:ext uri="{FF2B5EF4-FFF2-40B4-BE49-F238E27FC236}">
              <a16:creationId xmlns:a16="http://schemas.microsoft.com/office/drawing/2014/main" id="{72CCCE4F-FC0F-C615-0B42-D9AABB3650C0}"/>
            </a:ext>
          </a:extLst>
        </xdr:cNvPr>
        <xdr:cNvSpPr/>
      </xdr:nvSpPr>
      <xdr:spPr>
        <a:xfrm>
          <a:off x="2007667" y="680464"/>
          <a:ext cx="14084161" cy="1166332"/>
        </a:xfrm>
        <a:prstGeom prst="rect">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445152</xdr:colOff>
      <xdr:row>5</xdr:row>
      <xdr:rowOff>161794</xdr:rowOff>
    </xdr:from>
    <xdr:to>
      <xdr:col>4</xdr:col>
      <xdr:colOff>1049427</xdr:colOff>
      <xdr:row>11</xdr:row>
      <xdr:rowOff>69617</xdr:rowOff>
    </xdr:to>
    <xdr:sp macro="" textlink="Pivot_tables!$E$93">
      <xdr:nvSpPr>
        <xdr:cNvPr id="11" name="Oval 10">
          <a:extLst>
            <a:ext uri="{FF2B5EF4-FFF2-40B4-BE49-F238E27FC236}">
              <a16:creationId xmlns:a16="http://schemas.microsoft.com/office/drawing/2014/main" id="{0686FF93-DC73-412D-8FB0-A09B5851D015}"/>
            </a:ext>
          </a:extLst>
        </xdr:cNvPr>
        <xdr:cNvSpPr/>
      </xdr:nvSpPr>
      <xdr:spPr>
        <a:xfrm>
          <a:off x="2368558" y="1082084"/>
          <a:ext cx="2720941" cy="1012171"/>
        </a:xfrm>
        <a:prstGeom prst="ellipse">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A27007-C173-400A-9096-C32C1F96C7E1}" type="TxLink">
            <a:rPr lang="en-US" sz="3200" b="1" i="0" u="none" strike="noStrike">
              <a:solidFill>
                <a:srgbClr val="333333"/>
              </a:solidFill>
              <a:latin typeface="Aptos Narrow"/>
            </a:rPr>
            <a:pPr algn="ctr"/>
            <a:t>132,932</a:t>
          </a:fld>
          <a:endParaRPr lang="en-US" sz="3200" b="1" i="0" u="none" strike="noStrike">
            <a:solidFill>
              <a:srgbClr val="333333"/>
            </a:solidFill>
            <a:latin typeface="Aptos Narrow"/>
          </a:endParaRPr>
        </a:p>
        <a:p>
          <a:pPr algn="ctr"/>
          <a:endParaRPr lang="en-US" sz="3200" b="1" i="0" u="none" strike="noStrike">
            <a:solidFill>
              <a:srgbClr val="333333"/>
            </a:solidFill>
            <a:latin typeface="Aptos Narrow"/>
          </a:endParaRPr>
        </a:p>
      </xdr:txBody>
    </xdr:sp>
    <xdr:clientData/>
  </xdr:twoCellAnchor>
  <xdr:twoCellAnchor>
    <xdr:from>
      <xdr:col>6</xdr:col>
      <xdr:colOff>684378</xdr:colOff>
      <xdr:row>7</xdr:row>
      <xdr:rowOff>1039</xdr:rowOff>
    </xdr:from>
    <xdr:to>
      <xdr:col>9</xdr:col>
      <xdr:colOff>500023</xdr:colOff>
      <xdr:row>11</xdr:row>
      <xdr:rowOff>11281</xdr:rowOff>
    </xdr:to>
    <xdr:sp macro="" textlink="Pivot_tables!$D$93">
      <xdr:nvSpPr>
        <xdr:cNvPr id="10" name="Oval 9">
          <a:extLst>
            <a:ext uri="{FF2B5EF4-FFF2-40B4-BE49-F238E27FC236}">
              <a16:creationId xmlns:a16="http://schemas.microsoft.com/office/drawing/2014/main" id="{2C5DE710-075A-4527-912A-9EC5338A4216}"/>
            </a:ext>
          </a:extLst>
        </xdr:cNvPr>
        <xdr:cNvSpPr/>
      </xdr:nvSpPr>
      <xdr:spPr>
        <a:xfrm>
          <a:off x="6841117" y="1289445"/>
          <a:ext cx="2990645" cy="746474"/>
        </a:xfrm>
        <a:prstGeom prst="ellipse">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6C58A89-C174-4ECA-916E-445A6403D4CA}" type="TxLink">
            <a:rPr lang="en-US" sz="4000" b="1" i="0" u="none" strike="noStrike">
              <a:solidFill>
                <a:srgbClr val="333333"/>
              </a:solidFill>
              <a:latin typeface="Aptos Narrow"/>
            </a:rPr>
            <a:pPr algn="ctr"/>
            <a:t>3.89</a:t>
          </a:fld>
          <a:endParaRPr lang="en-US" sz="4000" b="1" i="0" u="none" strike="noStrike">
            <a:solidFill>
              <a:srgbClr val="333333"/>
            </a:solidFill>
            <a:latin typeface="Aptos Narrow"/>
          </a:endParaRPr>
        </a:p>
      </xdr:txBody>
    </xdr:sp>
    <xdr:clientData/>
  </xdr:twoCellAnchor>
  <xdr:twoCellAnchor>
    <xdr:from>
      <xdr:col>9</xdr:col>
      <xdr:colOff>998266</xdr:colOff>
      <xdr:row>5</xdr:row>
      <xdr:rowOff>95221</xdr:rowOff>
    </xdr:from>
    <xdr:to>
      <xdr:col>12</xdr:col>
      <xdr:colOff>551781</xdr:colOff>
      <xdr:row>10</xdr:row>
      <xdr:rowOff>177157</xdr:rowOff>
    </xdr:to>
    <xdr:sp macro="" textlink="Pivot_tables!$C$93">
      <xdr:nvSpPr>
        <xdr:cNvPr id="6" name="Oval 5">
          <a:extLst>
            <a:ext uri="{FF2B5EF4-FFF2-40B4-BE49-F238E27FC236}">
              <a16:creationId xmlns:a16="http://schemas.microsoft.com/office/drawing/2014/main" id="{65906C79-10C5-4996-ACA9-7878822BC346}"/>
            </a:ext>
          </a:extLst>
        </xdr:cNvPr>
        <xdr:cNvSpPr/>
      </xdr:nvSpPr>
      <xdr:spPr>
        <a:xfrm>
          <a:off x="10330005" y="1015511"/>
          <a:ext cx="2728515" cy="1002226"/>
        </a:xfrm>
        <a:prstGeom prst="ellipse">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87AEFD-471E-490C-9ED3-B17ADA515704}" type="TxLink">
            <a:rPr lang="en-US" sz="3600" b="1" i="0" u="none" strike="noStrike">
              <a:solidFill>
                <a:srgbClr val="333333"/>
              </a:solidFill>
              <a:latin typeface="Aptos Narrow"/>
            </a:rPr>
            <a:pPr algn="ctr"/>
            <a:t>1,187</a:t>
          </a:fld>
          <a:endParaRPr lang="en-US" sz="3600" b="1" i="0" u="none" strike="noStrike">
            <a:solidFill>
              <a:srgbClr val="333333"/>
            </a:solidFill>
            <a:latin typeface="Aptos Narrow"/>
          </a:endParaRPr>
        </a:p>
      </xdr:txBody>
    </xdr:sp>
    <xdr:clientData/>
  </xdr:twoCellAnchor>
  <xdr:twoCellAnchor>
    <xdr:from>
      <xdr:col>12</xdr:col>
      <xdr:colOff>970906</xdr:colOff>
      <xdr:row>6</xdr:row>
      <xdr:rowOff>7348</xdr:rowOff>
    </xdr:from>
    <xdr:to>
      <xdr:col>15</xdr:col>
      <xdr:colOff>250853</xdr:colOff>
      <xdr:row>10</xdr:row>
      <xdr:rowOff>170923</xdr:rowOff>
    </xdr:to>
    <xdr:sp macro="" textlink="Pivot_tables!$A$93">
      <xdr:nvSpPr>
        <xdr:cNvPr id="5" name="Oval 4">
          <a:extLst>
            <a:ext uri="{FF2B5EF4-FFF2-40B4-BE49-F238E27FC236}">
              <a16:creationId xmlns:a16="http://schemas.microsoft.com/office/drawing/2014/main" id="{DE594EBC-F7C1-2A10-F28D-65D195A70413}"/>
            </a:ext>
          </a:extLst>
        </xdr:cNvPr>
        <xdr:cNvSpPr/>
      </xdr:nvSpPr>
      <xdr:spPr>
        <a:xfrm>
          <a:off x="13477645" y="1111696"/>
          <a:ext cx="2004005" cy="899807"/>
        </a:xfrm>
        <a:prstGeom prst="ellipse">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916346-D60E-40C3-9592-15FAF2AC730F}" type="TxLink">
            <a:rPr lang="en-US" sz="3600" b="1" i="0" u="none" strike="noStrike">
              <a:solidFill>
                <a:srgbClr val="333333"/>
              </a:solidFill>
              <a:latin typeface="Aptos Narrow"/>
            </a:rPr>
            <a:pPr algn="ctr"/>
            <a:t>37%</a:t>
          </a:fld>
          <a:endParaRPr lang="en-US" sz="3600" b="1" i="0" u="none" strike="noStrike">
            <a:solidFill>
              <a:srgbClr val="333333"/>
            </a:solidFill>
            <a:latin typeface="Aptos Narrow"/>
          </a:endParaRPr>
        </a:p>
        <a:p>
          <a:pPr algn="ctr"/>
          <a:endParaRPr lang="en-US" sz="3600" b="1" i="0" u="none" strike="noStrike">
            <a:solidFill>
              <a:srgbClr val="333333"/>
            </a:solidFill>
            <a:latin typeface="Aptos Narrow"/>
          </a:endParaRPr>
        </a:p>
        <a:p>
          <a:pPr algn="ctr"/>
          <a:endParaRPr lang="en-US" sz="3600" b="1" i="0" u="none" strike="noStrike">
            <a:solidFill>
              <a:srgbClr val="333333"/>
            </a:solidFill>
            <a:latin typeface="Aptos Narrow"/>
          </a:endParaRPr>
        </a:p>
        <a:p>
          <a:pPr algn="ctr"/>
          <a:endParaRPr lang="en-KE" sz="3600" b="1">
            <a:solidFill>
              <a:srgbClr val="333333"/>
            </a:solidFill>
          </a:endParaRPr>
        </a:p>
      </xdr:txBody>
    </xdr:sp>
    <xdr:clientData/>
  </xdr:twoCellAnchor>
  <xdr:twoCellAnchor>
    <xdr:from>
      <xdr:col>2</xdr:col>
      <xdr:colOff>71691</xdr:colOff>
      <xdr:row>9</xdr:row>
      <xdr:rowOff>133143</xdr:rowOff>
    </xdr:from>
    <xdr:to>
      <xdr:col>16</xdr:col>
      <xdr:colOff>325243</xdr:colOff>
      <xdr:row>13</xdr:row>
      <xdr:rowOff>15487</xdr:rowOff>
    </xdr:to>
    <xdr:sp macro="" textlink="">
      <xdr:nvSpPr>
        <xdr:cNvPr id="13" name="Rectangle 12">
          <a:extLst>
            <a:ext uri="{FF2B5EF4-FFF2-40B4-BE49-F238E27FC236}">
              <a16:creationId xmlns:a16="http://schemas.microsoft.com/office/drawing/2014/main" id="{27CCB298-85BF-A53A-12C8-E54E9FA78580}"/>
            </a:ext>
          </a:extLst>
        </xdr:cNvPr>
        <xdr:cNvSpPr/>
      </xdr:nvSpPr>
      <xdr:spPr>
        <a:xfrm>
          <a:off x="1992179" y="1805826"/>
          <a:ext cx="14099649" cy="625759"/>
        </a:xfrm>
        <a:prstGeom prst="rect">
          <a:avLst/>
        </a:prstGeom>
        <a:solidFill>
          <a:srgbClr val="F57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rgbClr val="333333"/>
              </a:solidFill>
            </a:rPr>
            <a:t> </a:t>
          </a:r>
          <a:r>
            <a:rPr lang="en-US" sz="1400" b="1">
              <a:solidFill>
                <a:srgbClr val="333333"/>
              </a:solidFill>
            </a:rPr>
            <a:t>TOTAL REVENUE	    			</a:t>
          </a:r>
          <a:r>
            <a:rPr lang="en-US" sz="1400" b="1" baseline="0">
              <a:solidFill>
                <a:srgbClr val="333333"/>
              </a:solidFill>
            </a:rPr>
            <a:t> </a:t>
          </a:r>
          <a:r>
            <a:rPr lang="en-US" sz="1400" b="1">
              <a:solidFill>
                <a:srgbClr val="333333"/>
              </a:solidFill>
            </a:rPr>
            <a:t>AVERAGE  RATINGS		</a:t>
          </a:r>
          <a:r>
            <a:rPr lang="en-US" sz="1400" b="1" baseline="0">
              <a:solidFill>
                <a:srgbClr val="333333"/>
              </a:solidFill>
            </a:rPr>
            <a:t>            </a:t>
          </a:r>
          <a:r>
            <a:rPr lang="en-US" sz="1400" b="1">
              <a:solidFill>
                <a:srgbClr val="333333"/>
              </a:solidFill>
            </a:rPr>
            <a:t>AVERAGE ORDER</a:t>
          </a:r>
          <a:r>
            <a:rPr lang="en-US" sz="1400" b="1" baseline="0">
              <a:solidFill>
                <a:srgbClr val="333333"/>
              </a:solidFill>
            </a:rPr>
            <a:t> VALUE	              AVERAGE DISCOUNT</a:t>
          </a:r>
          <a:endParaRPr lang="en-KE" sz="1400" b="1">
            <a:solidFill>
              <a:srgbClr val="333333"/>
            </a:solidFill>
          </a:endParaRPr>
        </a:p>
      </xdr:txBody>
    </xdr:sp>
    <xdr:clientData/>
  </xdr:twoCellAnchor>
  <xdr:twoCellAnchor editAs="oneCell">
    <xdr:from>
      <xdr:col>8</xdr:col>
      <xdr:colOff>17962</xdr:colOff>
      <xdr:row>3</xdr:row>
      <xdr:rowOff>163869</xdr:rowOff>
    </xdr:from>
    <xdr:to>
      <xdr:col>8</xdr:col>
      <xdr:colOff>738312</xdr:colOff>
      <xdr:row>7</xdr:row>
      <xdr:rowOff>93017</xdr:rowOff>
    </xdr:to>
    <xdr:pic>
      <xdr:nvPicPr>
        <xdr:cNvPr id="15" name="Graphic 14">
          <a:extLst>
            <a:ext uri="{FF2B5EF4-FFF2-40B4-BE49-F238E27FC236}">
              <a16:creationId xmlns:a16="http://schemas.microsoft.com/office/drawing/2014/main" id="{17255B7E-523A-AE21-6743-FD32F457D0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291368" y="716043"/>
          <a:ext cx="720350" cy="665380"/>
        </a:xfrm>
        <a:prstGeom prst="rect">
          <a:avLst/>
        </a:prstGeom>
      </xdr:spPr>
    </xdr:pic>
    <xdr:clientData/>
  </xdr:twoCellAnchor>
  <xdr:twoCellAnchor editAs="oneCell">
    <xdr:from>
      <xdr:col>10</xdr:col>
      <xdr:colOff>771412</xdr:colOff>
      <xdr:row>3</xdr:row>
      <xdr:rowOff>59372</xdr:rowOff>
    </xdr:from>
    <xdr:to>
      <xdr:col>11</xdr:col>
      <xdr:colOff>371975</xdr:colOff>
      <xdr:row>6</xdr:row>
      <xdr:rowOff>172403</xdr:rowOff>
    </xdr:to>
    <xdr:pic>
      <xdr:nvPicPr>
        <xdr:cNvPr id="36" name="Graphic 35">
          <a:extLst>
            <a:ext uri="{FF2B5EF4-FFF2-40B4-BE49-F238E27FC236}">
              <a16:creationId xmlns:a16="http://schemas.microsoft.com/office/drawing/2014/main" id="{7F6F0669-977E-67F5-78B3-2129A9B76B8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161484" y="611546"/>
          <a:ext cx="658897" cy="665205"/>
        </a:xfrm>
        <a:prstGeom prst="rect">
          <a:avLst/>
        </a:prstGeom>
      </xdr:spPr>
    </xdr:pic>
    <xdr:clientData/>
  </xdr:twoCellAnchor>
  <xdr:twoCellAnchor editAs="oneCell">
    <xdr:from>
      <xdr:col>10</xdr:col>
      <xdr:colOff>679232</xdr:colOff>
      <xdr:row>2</xdr:row>
      <xdr:rowOff>59374</xdr:rowOff>
    </xdr:from>
    <xdr:to>
      <xdr:col>11</xdr:col>
      <xdr:colOff>279795</xdr:colOff>
      <xdr:row>5</xdr:row>
      <xdr:rowOff>172405</xdr:rowOff>
    </xdr:to>
    <xdr:pic>
      <xdr:nvPicPr>
        <xdr:cNvPr id="37" name="Graphic 36">
          <a:extLst>
            <a:ext uri="{FF2B5EF4-FFF2-40B4-BE49-F238E27FC236}">
              <a16:creationId xmlns:a16="http://schemas.microsoft.com/office/drawing/2014/main" id="{9BDFD6A4-E02F-4D65-954F-F1135AB7CD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069304" y="427490"/>
          <a:ext cx="658897" cy="665205"/>
        </a:xfrm>
        <a:prstGeom prst="rect">
          <a:avLst/>
        </a:prstGeom>
      </xdr:spPr>
    </xdr:pic>
    <xdr:clientData/>
  </xdr:twoCellAnchor>
  <xdr:twoCellAnchor editAs="oneCell">
    <xdr:from>
      <xdr:col>7</xdr:col>
      <xdr:colOff>738310</xdr:colOff>
      <xdr:row>3</xdr:row>
      <xdr:rowOff>92176</xdr:rowOff>
    </xdr:from>
    <xdr:to>
      <xdr:col>8</xdr:col>
      <xdr:colOff>400326</xdr:colOff>
      <xdr:row>7</xdr:row>
      <xdr:rowOff>21324</xdr:rowOff>
    </xdr:to>
    <xdr:pic>
      <xdr:nvPicPr>
        <xdr:cNvPr id="38" name="Graphic 37">
          <a:extLst>
            <a:ext uri="{FF2B5EF4-FFF2-40B4-BE49-F238E27FC236}">
              <a16:creationId xmlns:a16="http://schemas.microsoft.com/office/drawing/2014/main" id="{4902C57C-5126-4E39-A534-DB07AFB4BC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953382" y="644350"/>
          <a:ext cx="720350" cy="665380"/>
        </a:xfrm>
        <a:prstGeom prst="rect">
          <a:avLst/>
        </a:prstGeom>
      </xdr:spPr>
    </xdr:pic>
    <xdr:clientData/>
  </xdr:twoCellAnchor>
  <xdr:twoCellAnchor editAs="oneCell">
    <xdr:from>
      <xdr:col>7</xdr:col>
      <xdr:colOff>574439</xdr:colOff>
      <xdr:row>3</xdr:row>
      <xdr:rowOff>163870</xdr:rowOff>
    </xdr:from>
    <xdr:to>
      <xdr:col>8</xdr:col>
      <xdr:colOff>236455</xdr:colOff>
      <xdr:row>7</xdr:row>
      <xdr:rowOff>93018</xdr:rowOff>
    </xdr:to>
    <xdr:pic>
      <xdr:nvPicPr>
        <xdr:cNvPr id="39" name="Graphic 38">
          <a:extLst>
            <a:ext uri="{FF2B5EF4-FFF2-40B4-BE49-F238E27FC236}">
              <a16:creationId xmlns:a16="http://schemas.microsoft.com/office/drawing/2014/main" id="{8CD7FDC5-A3C5-47D6-A0F3-FB6FCF27EEB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89511" y="716044"/>
          <a:ext cx="720350" cy="665380"/>
        </a:xfrm>
        <a:prstGeom prst="rect">
          <a:avLst/>
        </a:prstGeom>
      </xdr:spPr>
    </xdr:pic>
    <xdr:clientData/>
  </xdr:twoCellAnchor>
  <xdr:twoCellAnchor editAs="oneCell">
    <xdr:from>
      <xdr:col>13</xdr:col>
      <xdr:colOff>545942</xdr:colOff>
      <xdr:row>3</xdr:row>
      <xdr:rowOff>58365</xdr:rowOff>
    </xdr:from>
    <xdr:to>
      <xdr:col>14</xdr:col>
      <xdr:colOff>250974</xdr:colOff>
      <xdr:row>7</xdr:row>
      <xdr:rowOff>91140</xdr:rowOff>
    </xdr:to>
    <xdr:pic>
      <xdr:nvPicPr>
        <xdr:cNvPr id="41" name="Graphic 40">
          <a:extLst>
            <a:ext uri="{FF2B5EF4-FFF2-40B4-BE49-F238E27FC236}">
              <a16:creationId xmlns:a16="http://schemas.microsoft.com/office/drawing/2014/main" id="{D022202F-87B5-17B7-D9B3-B4056927A368}"/>
            </a:ext>
          </a:extLst>
        </xdr:cNvPr>
        <xdr:cNvPicPr>
          <a:picLocks noChangeAspect="1"/>
        </xdr:cNvPicPr>
      </xdr:nvPicPr>
      <xdr:blipFill>
        <a:blip xmlns:r="http://schemas.openxmlformats.org/officeDocument/2006/relationships" r:embed="rId6">
          <a:alphaModFix amt="63000"/>
          <a:extLst>
            <a:ext uri="{96DAC541-7B7A-43D3-8B79-37D633B846F1}">
              <asvg:svgBlip xmlns:asvg="http://schemas.microsoft.com/office/drawing/2016/SVG/main" r:embed="rId7"/>
            </a:ext>
          </a:extLst>
        </a:blip>
        <a:stretch>
          <a:fillRect/>
        </a:stretch>
      </xdr:blipFill>
      <xdr:spPr>
        <a:xfrm>
          <a:off x="14111014" y="610539"/>
          <a:ext cx="763366" cy="769007"/>
        </a:xfrm>
        <a:prstGeom prst="rect">
          <a:avLst/>
        </a:prstGeom>
      </xdr:spPr>
    </xdr:pic>
    <xdr:clientData/>
  </xdr:twoCellAnchor>
  <xdr:twoCellAnchor editAs="oneCell">
    <xdr:from>
      <xdr:col>3</xdr:col>
      <xdr:colOff>540298</xdr:colOff>
      <xdr:row>3</xdr:row>
      <xdr:rowOff>142667</xdr:rowOff>
    </xdr:from>
    <xdr:to>
      <xdr:col>4</xdr:col>
      <xdr:colOff>4304</xdr:colOff>
      <xdr:row>7</xdr:row>
      <xdr:rowOff>546</xdr:rowOff>
    </xdr:to>
    <xdr:pic>
      <xdr:nvPicPr>
        <xdr:cNvPr id="43" name="Graphic 42">
          <a:extLst>
            <a:ext uri="{FF2B5EF4-FFF2-40B4-BE49-F238E27FC236}">
              <a16:creationId xmlns:a16="http://schemas.microsoft.com/office/drawing/2014/main" id="{77F73823-D697-A977-C32F-DD134A6F1EDF}"/>
            </a:ext>
          </a:extLst>
        </xdr:cNvPr>
        <xdr:cNvPicPr>
          <a:picLocks noChangeAspect="1"/>
        </xdr:cNvPicPr>
      </xdr:nvPicPr>
      <xdr:blipFill>
        <a:blip xmlns:r="http://schemas.openxmlformats.org/officeDocument/2006/relationships" r:embed="rId8">
          <a:alphaModFix amt="63000"/>
          <a:extLst>
            <a:ext uri="{96DAC541-7B7A-43D3-8B79-37D633B846F1}">
              <asvg:svgBlip xmlns:asvg="http://schemas.microsoft.com/office/drawing/2016/SVG/main" r:embed="rId9"/>
            </a:ext>
          </a:extLst>
        </a:blip>
        <a:stretch>
          <a:fillRect/>
        </a:stretch>
      </xdr:blipFill>
      <xdr:spPr>
        <a:xfrm>
          <a:off x="3522037" y="694841"/>
          <a:ext cx="522339" cy="586442"/>
        </a:xfrm>
        <a:prstGeom prst="rect">
          <a:avLst/>
        </a:prstGeom>
      </xdr:spPr>
    </xdr:pic>
    <xdr:clientData/>
  </xdr:twoCellAnchor>
  <xdr:twoCellAnchor>
    <xdr:from>
      <xdr:col>6</xdr:col>
      <xdr:colOff>870994</xdr:colOff>
      <xdr:row>13</xdr:row>
      <xdr:rowOff>178630</xdr:rowOff>
    </xdr:from>
    <xdr:to>
      <xdr:col>11</xdr:col>
      <xdr:colOff>172781</xdr:colOff>
      <xdr:row>34</xdr:row>
      <xdr:rowOff>36098</xdr:rowOff>
    </xdr:to>
    <xdr:graphicFrame macro="">
      <xdr:nvGraphicFramePr>
        <xdr:cNvPr id="45" name="Chart 44">
          <a:extLst>
            <a:ext uri="{FF2B5EF4-FFF2-40B4-BE49-F238E27FC236}">
              <a16:creationId xmlns:a16="http://schemas.microsoft.com/office/drawing/2014/main" id="{2F4B077C-BA23-4F4D-8464-B526DC538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329711</xdr:colOff>
      <xdr:row>13</xdr:row>
      <xdr:rowOff>156445</xdr:rowOff>
    </xdr:from>
    <xdr:to>
      <xdr:col>16</xdr:col>
      <xdr:colOff>340731</xdr:colOff>
      <xdr:row>34</xdr:row>
      <xdr:rowOff>58283</xdr:rowOff>
    </xdr:to>
    <xdr:graphicFrame macro="">
      <xdr:nvGraphicFramePr>
        <xdr:cNvPr id="46" name="Chart 45">
          <a:extLst>
            <a:ext uri="{FF2B5EF4-FFF2-40B4-BE49-F238E27FC236}">
              <a16:creationId xmlns:a16="http://schemas.microsoft.com/office/drawing/2014/main" id="{5607A675-E231-4D36-96C1-6746679D9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200525</xdr:colOff>
      <xdr:row>35</xdr:row>
      <xdr:rowOff>55976</xdr:rowOff>
    </xdr:from>
    <xdr:to>
      <xdr:col>8</xdr:col>
      <xdr:colOff>438452</xdr:colOff>
      <xdr:row>53</xdr:row>
      <xdr:rowOff>60476</xdr:rowOff>
    </xdr:to>
    <xdr:graphicFrame macro="">
      <xdr:nvGraphicFramePr>
        <xdr:cNvPr id="47" name="Chart 46">
          <a:extLst>
            <a:ext uri="{FF2B5EF4-FFF2-40B4-BE49-F238E27FC236}">
              <a16:creationId xmlns:a16="http://schemas.microsoft.com/office/drawing/2014/main" id="{25815A53-02BD-49EF-90DE-737BA5B9A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657124</xdr:colOff>
      <xdr:row>35</xdr:row>
      <xdr:rowOff>96649</xdr:rowOff>
    </xdr:from>
    <xdr:to>
      <xdr:col>16</xdr:col>
      <xdr:colOff>340731</xdr:colOff>
      <xdr:row>53</xdr:row>
      <xdr:rowOff>19803</xdr:rowOff>
    </xdr:to>
    <xdr:graphicFrame macro="">
      <xdr:nvGraphicFramePr>
        <xdr:cNvPr id="48" name="Chart 47">
          <a:extLst>
            <a:ext uri="{FF2B5EF4-FFF2-40B4-BE49-F238E27FC236}">
              <a16:creationId xmlns:a16="http://schemas.microsoft.com/office/drawing/2014/main" id="{C86B7851-D7BA-4072-A594-0514BD2F0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212563</xdr:colOff>
      <xdr:row>13</xdr:row>
      <xdr:rowOff>156829</xdr:rowOff>
    </xdr:from>
    <xdr:to>
      <xdr:col>6</xdr:col>
      <xdr:colOff>714065</xdr:colOff>
      <xdr:row>34</xdr:row>
      <xdr:rowOff>57899</xdr:rowOff>
    </xdr:to>
    <xdr:graphicFrame macro="">
      <xdr:nvGraphicFramePr>
        <xdr:cNvPr id="49" name="Chart 48">
          <a:extLst>
            <a:ext uri="{FF2B5EF4-FFF2-40B4-BE49-F238E27FC236}">
              <a16:creationId xmlns:a16="http://schemas.microsoft.com/office/drawing/2014/main" id="{E43B5FBE-FC1A-48A7-A566-01CC2C24A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6143.010484143517" createdVersion="8" refreshedVersion="8" minRefreshableVersion="3" recordCount="112" xr:uid="{09F30190-928C-4F15-8734-B9E712C97BD2}">
  <cacheSource type="worksheet">
    <worksheetSource ref="A1:I113" sheet="Cleaned_Jumia Dat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0">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164">
      <sharedItems count="3">
        <s v="Medium Discount"/>
        <s v="High Discount"/>
        <s v="Low Discount"/>
      </sharedItems>
    </cacheField>
    <cacheField name="Review" numFmtId="165">
      <sharedItems containsMixedTypes="1" containsNumber="1" containsInteger="1" minValue="1" maxValue="69" count="24">
        <n v="2"/>
        <n v="14"/>
        <n v="24"/>
        <n v="7"/>
        <n v="5"/>
        <n v="15"/>
        <n v="55"/>
        <n v="12"/>
        <n v="39"/>
        <n v="6"/>
        <n v="9"/>
        <n v="3"/>
        <n v="44"/>
        <n v="13"/>
        <s v="Null"/>
        <n v="49"/>
        <n v="20"/>
        <n v="32"/>
        <n v="1"/>
        <n v="36"/>
        <n v="10"/>
        <n v="69"/>
        <n v="16"/>
        <n v="17"/>
      </sharedItems>
    </cacheField>
    <cacheField name="Ratings" numFmtId="165">
      <sharedItems containsMixedTypes="1" containsNumber="1" minValue="2" maxValue="5" count="23">
        <n v="4.5"/>
        <n v="4.0999999999999996"/>
        <n v="4.5999999999999996"/>
        <n v="4.7"/>
        <n v="4.8"/>
        <n v="4"/>
        <n v="3.8"/>
        <n v="4.2"/>
        <n v="5"/>
        <n v="3.3"/>
        <s v="Null"/>
        <n v="4.4000000000000004"/>
        <n v="4.3"/>
        <n v="2.5"/>
        <n v="3"/>
        <n v="2.1"/>
        <n v="2.8"/>
        <n v="2.7"/>
        <n v="2.9"/>
        <n v="2.2000000000000002"/>
        <n v="2.2999999999999998"/>
        <n v="2.6"/>
        <n v="2"/>
      </sharedItems>
    </cacheField>
    <cacheField name="Rating Category" numFmtId="0">
      <sharedItems count="4">
        <s v="Excellent"/>
        <s v="Average"/>
        <s v="Not Rated"/>
        <s v="Poor"/>
      </sharedItems>
    </cacheField>
  </cacheFields>
  <extLst>
    <ext xmlns:x14="http://schemas.microsoft.com/office/spreadsheetml/2009/9/main" uri="{725AE2AE-9491-48be-B2B4-4EB974FC3084}">
      <x14:pivotCacheDefinition pivotCacheId="1990569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n v="575"/>
    <x v="0"/>
    <x v="0"/>
    <x v="0"/>
    <x v="0"/>
    <x v="0"/>
  </r>
  <r>
    <x v="1"/>
    <x v="1"/>
    <n v="999"/>
    <n v="472"/>
    <x v="1"/>
    <x v="1"/>
    <x v="1"/>
    <x v="1"/>
    <x v="0"/>
  </r>
  <r>
    <x v="2"/>
    <x v="2"/>
    <n v="2923"/>
    <n v="724"/>
    <x v="2"/>
    <x v="0"/>
    <x v="2"/>
    <x v="2"/>
    <x v="1"/>
  </r>
  <r>
    <x v="3"/>
    <x v="3"/>
    <n v="2499"/>
    <n v="919"/>
    <x v="3"/>
    <x v="0"/>
    <x v="3"/>
    <x v="3"/>
    <x v="0"/>
  </r>
  <r>
    <x v="4"/>
    <x v="4"/>
    <n v="2356"/>
    <n v="616"/>
    <x v="4"/>
    <x v="0"/>
    <x v="4"/>
    <x v="4"/>
    <x v="1"/>
  </r>
  <r>
    <x v="5"/>
    <x v="5"/>
    <n v="3290"/>
    <n v="291"/>
    <x v="5"/>
    <x v="2"/>
    <x v="5"/>
    <x v="5"/>
    <x v="0"/>
  </r>
  <r>
    <x v="6"/>
    <x v="6"/>
    <n v="3032"/>
    <n v="713"/>
    <x v="6"/>
    <x v="0"/>
    <x v="6"/>
    <x v="2"/>
    <x v="1"/>
  </r>
  <r>
    <x v="7"/>
    <x v="7"/>
    <n v="1580"/>
    <n v="592"/>
    <x v="3"/>
    <x v="0"/>
    <x v="0"/>
    <x v="5"/>
    <x v="1"/>
  </r>
  <r>
    <x v="8"/>
    <x v="8"/>
    <n v="2800"/>
    <n v="1526"/>
    <x v="7"/>
    <x v="1"/>
    <x v="4"/>
    <x v="4"/>
    <x v="0"/>
  </r>
  <r>
    <x v="9"/>
    <x v="9"/>
    <n v="2929"/>
    <n v="1329"/>
    <x v="8"/>
    <x v="1"/>
    <x v="4"/>
    <x v="6"/>
    <x v="0"/>
  </r>
  <r>
    <x v="10"/>
    <x v="10"/>
    <n v="999"/>
    <n v="200"/>
    <x v="9"/>
    <x v="0"/>
    <x v="7"/>
    <x v="1"/>
    <x v="0"/>
  </r>
  <r>
    <x v="11"/>
    <x v="11"/>
    <n v="1500"/>
    <n v="510"/>
    <x v="10"/>
    <x v="0"/>
    <x v="8"/>
    <x v="3"/>
    <x v="1"/>
  </r>
  <r>
    <x v="12"/>
    <x v="12"/>
    <n v="1035"/>
    <n v="483"/>
    <x v="1"/>
    <x v="1"/>
    <x v="7"/>
    <x v="4"/>
    <x v="0"/>
  </r>
  <r>
    <x v="13"/>
    <x v="13"/>
    <n v="860"/>
    <n v="359"/>
    <x v="11"/>
    <x v="1"/>
    <x v="9"/>
    <x v="0"/>
    <x v="0"/>
  </r>
  <r>
    <x v="14"/>
    <x v="14"/>
    <n v="2499"/>
    <n v="819"/>
    <x v="12"/>
    <x v="0"/>
    <x v="10"/>
    <x v="7"/>
    <x v="0"/>
  </r>
  <r>
    <x v="15"/>
    <x v="15"/>
    <n v="684"/>
    <n v="352"/>
    <x v="13"/>
    <x v="1"/>
    <x v="0"/>
    <x v="8"/>
    <x v="0"/>
  </r>
  <r>
    <x v="16"/>
    <x v="16"/>
    <n v="360"/>
    <n v="165"/>
    <x v="14"/>
    <x v="1"/>
    <x v="0"/>
    <x v="8"/>
    <x v="0"/>
  </r>
  <r>
    <x v="17"/>
    <x v="17"/>
    <n v="3971"/>
    <n v="1946"/>
    <x v="15"/>
    <x v="1"/>
    <x v="11"/>
    <x v="8"/>
    <x v="1"/>
  </r>
  <r>
    <x v="18"/>
    <x v="5"/>
    <n v="3699"/>
    <n v="700"/>
    <x v="16"/>
    <x v="2"/>
    <x v="4"/>
    <x v="2"/>
    <x v="2"/>
  </r>
  <r>
    <x v="19"/>
    <x v="18"/>
    <n v="1966"/>
    <n v="968"/>
    <x v="15"/>
    <x v="1"/>
    <x v="12"/>
    <x v="2"/>
    <x v="1"/>
  </r>
  <r>
    <x v="20"/>
    <x v="19"/>
    <n v="80"/>
    <n v="42"/>
    <x v="17"/>
    <x v="1"/>
    <x v="13"/>
    <x v="9"/>
    <x v="0"/>
  </r>
  <r>
    <x v="21"/>
    <x v="20"/>
    <n v="3220"/>
    <n v="1360"/>
    <x v="11"/>
    <x v="1"/>
    <x v="14"/>
    <x v="10"/>
    <x v="1"/>
  </r>
  <r>
    <x v="22"/>
    <x v="21"/>
    <n v="1350"/>
    <n v="470"/>
    <x v="18"/>
    <x v="0"/>
    <x v="9"/>
    <x v="5"/>
    <x v="0"/>
  </r>
  <r>
    <x v="23"/>
    <x v="22"/>
    <n v="2150"/>
    <n v="500"/>
    <x v="19"/>
    <x v="0"/>
    <x v="1"/>
    <x v="11"/>
    <x v="1"/>
  </r>
  <r>
    <x v="24"/>
    <x v="23"/>
    <n v="4500"/>
    <n v="2452"/>
    <x v="20"/>
    <x v="1"/>
    <x v="3"/>
    <x v="12"/>
    <x v="1"/>
  </r>
  <r>
    <x v="25"/>
    <x v="24"/>
    <n v="647"/>
    <n v="227"/>
    <x v="18"/>
    <x v="0"/>
    <x v="15"/>
    <x v="2"/>
    <x v="1"/>
  </r>
  <r>
    <x v="26"/>
    <x v="25"/>
    <n v="3520"/>
    <n v="640"/>
    <x v="21"/>
    <x v="2"/>
    <x v="7"/>
    <x v="6"/>
    <x v="2"/>
  </r>
  <r>
    <x v="27"/>
    <x v="26"/>
    <n v="1990"/>
    <n v="640"/>
    <x v="22"/>
    <x v="0"/>
    <x v="13"/>
    <x v="6"/>
    <x v="1"/>
  </r>
  <r>
    <x v="28"/>
    <x v="27"/>
    <n v="2499"/>
    <n v="741"/>
    <x v="23"/>
    <x v="0"/>
    <x v="16"/>
    <x v="1"/>
    <x v="0"/>
  </r>
  <r>
    <x v="29"/>
    <x v="28"/>
    <n v="4080"/>
    <n v="1880"/>
    <x v="14"/>
    <x v="1"/>
    <x v="14"/>
    <x v="10"/>
    <x v="1"/>
  </r>
  <r>
    <x v="30"/>
    <x v="29"/>
    <n v="382"/>
    <n v="197"/>
    <x v="24"/>
    <x v="1"/>
    <x v="10"/>
    <x v="12"/>
    <x v="0"/>
  </r>
  <r>
    <x v="31"/>
    <x v="30"/>
    <n v="1490"/>
    <n v="510"/>
    <x v="10"/>
    <x v="0"/>
    <x v="7"/>
    <x v="3"/>
    <x v="0"/>
  </r>
  <r>
    <x v="32"/>
    <x v="31"/>
    <n v="3490"/>
    <n v="1670"/>
    <x v="25"/>
    <x v="1"/>
    <x v="10"/>
    <x v="12"/>
    <x v="0"/>
  </r>
  <r>
    <x v="33"/>
    <x v="32"/>
    <n v="2650"/>
    <n v="710"/>
    <x v="26"/>
    <x v="0"/>
    <x v="16"/>
    <x v="3"/>
    <x v="0"/>
  </r>
  <r>
    <x v="34"/>
    <x v="33"/>
    <n v="2699"/>
    <n v="719"/>
    <x v="26"/>
    <x v="0"/>
    <x v="17"/>
    <x v="0"/>
    <x v="1"/>
  </r>
  <r>
    <x v="35"/>
    <x v="34"/>
    <n v="2690"/>
    <n v="1070"/>
    <x v="27"/>
    <x v="1"/>
    <x v="18"/>
    <x v="8"/>
    <x v="0"/>
  </r>
  <r>
    <x v="36"/>
    <x v="35"/>
    <n v="360"/>
    <n v="189"/>
    <x v="17"/>
    <x v="1"/>
    <x v="0"/>
    <x v="8"/>
    <x v="2"/>
  </r>
  <r>
    <x v="37"/>
    <x v="36"/>
    <n v="656"/>
    <n v="267"/>
    <x v="28"/>
    <x v="1"/>
    <x v="19"/>
    <x v="12"/>
    <x v="2"/>
  </r>
  <r>
    <x v="38"/>
    <x v="37"/>
    <n v="2700"/>
    <n v="900"/>
    <x v="0"/>
    <x v="0"/>
    <x v="0"/>
    <x v="0"/>
    <x v="2"/>
  </r>
  <r>
    <x v="39"/>
    <x v="38"/>
    <n v="4471"/>
    <n v="1721"/>
    <x v="0"/>
    <x v="0"/>
    <x v="14"/>
    <x v="10"/>
    <x v="2"/>
  </r>
  <r>
    <x v="40"/>
    <x v="39"/>
    <n v="931"/>
    <n v="456"/>
    <x v="15"/>
    <x v="1"/>
    <x v="14"/>
    <x v="10"/>
    <x v="2"/>
  </r>
  <r>
    <x v="41"/>
    <x v="40"/>
    <n v="476"/>
    <n v="238"/>
    <x v="29"/>
    <x v="1"/>
    <x v="14"/>
    <x v="10"/>
    <x v="2"/>
  </r>
  <r>
    <x v="42"/>
    <x v="41"/>
    <n v="1060"/>
    <n v="450"/>
    <x v="11"/>
    <x v="1"/>
    <x v="14"/>
    <x v="10"/>
    <x v="2"/>
  </r>
  <r>
    <x v="43"/>
    <x v="42"/>
    <n v="2169"/>
    <n v="37"/>
    <x v="30"/>
    <x v="2"/>
    <x v="14"/>
    <x v="10"/>
    <x v="2"/>
  </r>
  <r>
    <x v="44"/>
    <x v="43"/>
    <n v="2000"/>
    <n v="1001"/>
    <x v="29"/>
    <x v="1"/>
    <x v="14"/>
    <x v="10"/>
    <x v="2"/>
  </r>
  <r>
    <x v="45"/>
    <x v="44"/>
    <n v="1785"/>
    <n v="595"/>
    <x v="12"/>
    <x v="0"/>
    <x v="14"/>
    <x v="10"/>
    <x v="2"/>
  </r>
  <r>
    <x v="46"/>
    <x v="45"/>
    <n v="1316"/>
    <n v="645"/>
    <x v="15"/>
    <x v="1"/>
    <x v="14"/>
    <x v="10"/>
    <x v="2"/>
  </r>
  <r>
    <x v="47"/>
    <x v="46"/>
    <n v="1950"/>
    <n v="750"/>
    <x v="0"/>
    <x v="0"/>
    <x v="14"/>
    <x v="10"/>
    <x v="2"/>
  </r>
  <r>
    <x v="48"/>
    <x v="47"/>
    <n v="504"/>
    <n v="305"/>
    <x v="31"/>
    <x v="1"/>
    <x v="14"/>
    <x v="10"/>
    <x v="2"/>
  </r>
  <r>
    <x v="49"/>
    <x v="48"/>
    <n v="600"/>
    <n v="301"/>
    <x v="29"/>
    <x v="1"/>
    <x v="14"/>
    <x v="10"/>
    <x v="2"/>
  </r>
  <r>
    <x v="50"/>
    <x v="49"/>
    <n v="1699"/>
    <n v="39"/>
    <x v="30"/>
    <x v="2"/>
    <x v="14"/>
    <x v="10"/>
    <x v="2"/>
  </r>
  <r>
    <x v="51"/>
    <x v="48"/>
    <n v="384"/>
    <n v="85"/>
    <x v="32"/>
    <x v="0"/>
    <x v="14"/>
    <x v="10"/>
    <x v="2"/>
  </r>
  <r>
    <x v="52"/>
    <x v="50"/>
    <n v="1499"/>
    <n v="40"/>
    <x v="33"/>
    <x v="2"/>
    <x v="14"/>
    <x v="10"/>
    <x v="2"/>
  </r>
  <r>
    <x v="53"/>
    <x v="10"/>
    <n v="1343"/>
    <n v="544"/>
    <x v="28"/>
    <x v="1"/>
    <x v="14"/>
    <x v="10"/>
    <x v="2"/>
  </r>
  <r>
    <x v="54"/>
    <x v="51"/>
    <n v="900"/>
    <n v="401"/>
    <x v="8"/>
    <x v="1"/>
    <x v="14"/>
    <x v="10"/>
    <x v="2"/>
  </r>
  <r>
    <x v="55"/>
    <x v="52"/>
    <n v="1343"/>
    <n v="644"/>
    <x v="25"/>
    <x v="1"/>
    <x v="14"/>
    <x v="10"/>
    <x v="2"/>
  </r>
  <r>
    <x v="56"/>
    <x v="10"/>
    <n v="1567"/>
    <n v="768"/>
    <x v="15"/>
    <x v="1"/>
    <x v="14"/>
    <x v="10"/>
    <x v="3"/>
  </r>
  <r>
    <x v="57"/>
    <x v="53"/>
    <n v="3810"/>
    <n v="1011"/>
    <x v="26"/>
    <x v="0"/>
    <x v="14"/>
    <x v="10"/>
    <x v="1"/>
  </r>
  <r>
    <x v="54"/>
    <x v="54"/>
    <n v="896"/>
    <n v="497"/>
    <x v="7"/>
    <x v="1"/>
    <x v="14"/>
    <x v="10"/>
    <x v="3"/>
  </r>
  <r>
    <x v="58"/>
    <x v="55"/>
    <n v="2500"/>
    <n v="330"/>
    <x v="34"/>
    <x v="2"/>
    <x v="9"/>
    <x v="13"/>
    <x v="3"/>
  </r>
  <r>
    <x v="59"/>
    <x v="56"/>
    <n v="986"/>
    <n v="528"/>
    <x v="20"/>
    <x v="1"/>
    <x v="20"/>
    <x v="14"/>
    <x v="3"/>
  </r>
  <r>
    <x v="60"/>
    <x v="57"/>
    <n v="4700"/>
    <n v="2585"/>
    <x v="7"/>
    <x v="1"/>
    <x v="13"/>
    <x v="15"/>
    <x v="3"/>
  </r>
  <r>
    <x v="61"/>
    <x v="58"/>
    <n v="873"/>
    <n v="428"/>
    <x v="15"/>
    <x v="1"/>
    <x v="21"/>
    <x v="16"/>
    <x v="3"/>
  </r>
  <r>
    <x v="62"/>
    <x v="59"/>
    <n v="680"/>
    <n v="355"/>
    <x v="24"/>
    <x v="1"/>
    <x v="5"/>
    <x v="17"/>
    <x v="3"/>
  </r>
  <r>
    <x v="63"/>
    <x v="60"/>
    <n v="1555"/>
    <n v="335"/>
    <x v="32"/>
    <x v="0"/>
    <x v="22"/>
    <x v="18"/>
    <x v="1"/>
  </r>
  <r>
    <x v="64"/>
    <x v="11"/>
    <n v="1814"/>
    <n v="824"/>
    <x v="8"/>
    <x v="1"/>
    <x v="9"/>
    <x v="19"/>
    <x v="3"/>
  </r>
  <r>
    <x v="65"/>
    <x v="61"/>
    <n v="2000"/>
    <n v="1000"/>
    <x v="29"/>
    <x v="1"/>
    <x v="3"/>
    <x v="20"/>
    <x v="1"/>
  </r>
  <r>
    <x v="66"/>
    <x v="62"/>
    <n v="6143"/>
    <n v="2393"/>
    <x v="35"/>
    <x v="0"/>
    <x v="4"/>
    <x v="14"/>
    <x v="3"/>
  </r>
  <r>
    <x v="67"/>
    <x v="63"/>
    <n v="700"/>
    <n v="318"/>
    <x v="8"/>
    <x v="1"/>
    <x v="23"/>
    <x v="21"/>
    <x v="1"/>
  </r>
  <r>
    <x v="68"/>
    <x v="64"/>
    <n v="3240"/>
    <n v="940"/>
    <x v="36"/>
    <x v="0"/>
    <x v="4"/>
    <x v="14"/>
    <x v="3"/>
  </r>
  <r>
    <x v="69"/>
    <x v="65"/>
    <n v="602"/>
    <n v="257"/>
    <x v="37"/>
    <x v="1"/>
    <x v="9"/>
    <x v="20"/>
    <x v="3"/>
  </r>
  <r>
    <x v="70"/>
    <x v="66"/>
    <n v="899"/>
    <n v="390"/>
    <x v="37"/>
    <x v="1"/>
    <x v="4"/>
    <x v="14"/>
    <x v="2"/>
  </r>
  <r>
    <x v="71"/>
    <x v="67"/>
    <n v="1814"/>
    <n v="846"/>
    <x v="1"/>
    <x v="1"/>
    <x v="9"/>
    <x v="19"/>
    <x v="2"/>
  </r>
  <r>
    <x v="72"/>
    <x v="68"/>
    <n v="2988"/>
    <n v="1418"/>
    <x v="1"/>
    <x v="1"/>
    <x v="3"/>
    <x v="15"/>
    <x v="2"/>
  </r>
  <r>
    <x v="73"/>
    <x v="69"/>
    <n v="1485"/>
    <n v="695"/>
    <x v="1"/>
    <x v="1"/>
    <x v="14"/>
    <x v="10"/>
    <x v="2"/>
  </r>
  <r>
    <x v="74"/>
    <x v="70"/>
    <n v="1200"/>
    <n v="510"/>
    <x v="37"/>
    <x v="1"/>
    <x v="14"/>
    <x v="10"/>
    <x v="1"/>
  </r>
  <r>
    <x v="75"/>
    <x v="71"/>
    <n v="1799"/>
    <n v="67"/>
    <x v="38"/>
    <x v="2"/>
    <x v="14"/>
    <x v="10"/>
    <x v="0"/>
  </r>
  <r>
    <x v="76"/>
    <x v="72"/>
    <n v="450"/>
    <n v="220"/>
    <x v="15"/>
    <x v="1"/>
    <x v="14"/>
    <x v="10"/>
    <x v="2"/>
  </r>
  <r>
    <x v="77"/>
    <x v="73"/>
    <n v="2199"/>
    <n v="1010"/>
    <x v="14"/>
    <x v="1"/>
    <x v="18"/>
    <x v="14"/>
    <x v="2"/>
  </r>
  <r>
    <x v="78"/>
    <x v="74"/>
    <n v="1920"/>
    <n v="941"/>
    <x v="15"/>
    <x v="1"/>
    <x v="18"/>
    <x v="8"/>
    <x v="1"/>
  </r>
  <r>
    <x v="79"/>
    <x v="75"/>
    <n v="2290"/>
    <n v="830"/>
    <x v="39"/>
    <x v="0"/>
    <x v="14"/>
    <x v="10"/>
    <x v="2"/>
  </r>
  <r>
    <x v="80"/>
    <x v="76"/>
    <n v="1699"/>
    <n v="33"/>
    <x v="30"/>
    <x v="2"/>
    <x v="14"/>
    <x v="10"/>
    <x v="2"/>
  </r>
  <r>
    <x v="81"/>
    <x v="77"/>
    <n v="647"/>
    <n v="317"/>
    <x v="15"/>
    <x v="1"/>
    <x v="18"/>
    <x v="5"/>
    <x v="2"/>
  </r>
  <r>
    <x v="48"/>
    <x v="78"/>
    <n v="345"/>
    <n v="169"/>
    <x v="15"/>
    <x v="1"/>
    <x v="14"/>
    <x v="10"/>
    <x v="2"/>
  </r>
  <r>
    <x v="82"/>
    <x v="79"/>
    <n v="1699"/>
    <n v="233"/>
    <x v="40"/>
    <x v="2"/>
    <x v="14"/>
    <x v="10"/>
    <x v="2"/>
  </r>
  <r>
    <x v="83"/>
    <x v="80"/>
    <n v="537"/>
    <n v="263"/>
    <x v="15"/>
    <x v="1"/>
    <x v="14"/>
    <x v="10"/>
    <x v="2"/>
  </r>
  <r>
    <x v="84"/>
    <x v="10"/>
    <n v="900"/>
    <n v="101"/>
    <x v="41"/>
    <x v="2"/>
    <x v="14"/>
    <x v="10"/>
    <x v="2"/>
  </r>
  <r>
    <x v="56"/>
    <x v="81"/>
    <n v="1288"/>
    <n v="631"/>
    <x v="15"/>
    <x v="1"/>
    <x v="14"/>
    <x v="10"/>
    <x v="2"/>
  </r>
  <r>
    <x v="85"/>
    <x v="82"/>
    <n v="1699"/>
    <n v="231"/>
    <x v="40"/>
    <x v="2"/>
    <x v="14"/>
    <x v="10"/>
    <x v="2"/>
  </r>
  <r>
    <x v="86"/>
    <x v="83"/>
    <n v="1100"/>
    <n v="470"/>
    <x v="37"/>
    <x v="1"/>
    <x v="14"/>
    <x v="10"/>
    <x v="2"/>
  </r>
  <r>
    <x v="87"/>
    <x v="84"/>
    <n v="1700"/>
    <n v="850"/>
    <x v="29"/>
    <x v="1"/>
    <x v="14"/>
    <x v="10"/>
    <x v="2"/>
  </r>
  <r>
    <x v="88"/>
    <x v="85"/>
    <n v="2500"/>
    <n v="1200"/>
    <x v="25"/>
    <x v="1"/>
    <x v="14"/>
    <x v="10"/>
    <x v="2"/>
  </r>
  <r>
    <x v="89"/>
    <x v="86"/>
    <n v="200"/>
    <n v="95"/>
    <x v="25"/>
    <x v="1"/>
    <x v="14"/>
    <x v="10"/>
    <x v="2"/>
  </r>
  <r>
    <x v="90"/>
    <x v="87"/>
    <n v="1699"/>
    <n v="800"/>
    <x v="1"/>
    <x v="1"/>
    <x v="14"/>
    <x v="10"/>
    <x v="2"/>
  </r>
  <r>
    <x v="91"/>
    <x v="46"/>
    <n v="2400"/>
    <n v="1200"/>
    <x v="29"/>
    <x v="1"/>
    <x v="14"/>
    <x v="10"/>
    <x v="2"/>
  </r>
  <r>
    <x v="92"/>
    <x v="88"/>
    <n v="1660"/>
    <n v="134"/>
    <x v="42"/>
    <x v="2"/>
    <x v="14"/>
    <x v="10"/>
    <x v="2"/>
  </r>
  <r>
    <x v="93"/>
    <x v="89"/>
    <n v="1499"/>
    <n v="37"/>
    <x v="30"/>
    <x v="2"/>
    <x v="14"/>
    <x v="10"/>
    <x v="2"/>
  </r>
  <r>
    <x v="94"/>
    <x v="90"/>
    <n v="486"/>
    <n v="238"/>
    <x v="15"/>
    <x v="1"/>
    <x v="14"/>
    <x v="10"/>
    <x v="2"/>
  </r>
  <r>
    <x v="95"/>
    <x v="91"/>
    <n v="3699"/>
    <n v="153"/>
    <x v="38"/>
    <x v="2"/>
    <x v="14"/>
    <x v="10"/>
    <x v="0"/>
  </r>
  <r>
    <x v="96"/>
    <x v="92"/>
    <n v="1029"/>
    <n v="504"/>
    <x v="15"/>
    <x v="1"/>
    <x v="14"/>
    <x v="10"/>
    <x v="2"/>
  </r>
  <r>
    <x v="97"/>
    <x v="93"/>
    <n v="1874"/>
    <n v="794"/>
    <x v="11"/>
    <x v="1"/>
    <x v="14"/>
    <x v="10"/>
    <x v="2"/>
  </r>
  <r>
    <x v="98"/>
    <x v="94"/>
    <n v="4588"/>
    <n v="948"/>
    <x v="43"/>
    <x v="0"/>
    <x v="18"/>
    <x v="8"/>
    <x v="2"/>
  </r>
  <r>
    <x v="99"/>
    <x v="95"/>
    <n v="2420"/>
    <n v="1000"/>
    <x v="28"/>
    <x v="1"/>
    <x v="14"/>
    <x v="10"/>
    <x v="2"/>
  </r>
  <r>
    <x v="100"/>
    <x v="96"/>
    <n v="1899"/>
    <n v="24"/>
    <x v="44"/>
    <x v="2"/>
    <x v="14"/>
    <x v="10"/>
    <x v="2"/>
  </r>
  <r>
    <x v="101"/>
    <x v="97"/>
    <n v="260"/>
    <n v="62"/>
    <x v="6"/>
    <x v="0"/>
    <x v="14"/>
    <x v="10"/>
    <x v="2"/>
  </r>
  <r>
    <x v="102"/>
    <x v="98"/>
    <n v="1737"/>
    <n v="587"/>
    <x v="10"/>
    <x v="0"/>
    <x v="14"/>
    <x v="10"/>
    <x v="2"/>
  </r>
  <r>
    <x v="103"/>
    <x v="44"/>
    <n v="1810"/>
    <n v="620"/>
    <x v="10"/>
    <x v="0"/>
    <x v="14"/>
    <x v="10"/>
    <x v="2"/>
  </r>
  <r>
    <x v="104"/>
    <x v="99"/>
    <n v="1699"/>
    <n v="41"/>
    <x v="30"/>
    <x v="2"/>
    <x v="14"/>
    <x v="10"/>
    <x v="3"/>
  </r>
  <r>
    <x v="105"/>
    <x v="100"/>
    <n v="1799"/>
    <n v="31"/>
    <x v="30"/>
    <x v="2"/>
    <x v="14"/>
    <x v="10"/>
    <x v="2"/>
  </r>
  <r>
    <x v="106"/>
    <x v="47"/>
    <n v="553"/>
    <n v="354"/>
    <x v="45"/>
    <x v="1"/>
    <x v="14"/>
    <x v="10"/>
    <x v="3"/>
  </r>
  <r>
    <x v="107"/>
    <x v="101"/>
    <n v="900"/>
    <n v="450"/>
    <x v="29"/>
    <x v="1"/>
    <x v="18"/>
    <x v="22"/>
    <x v="3"/>
  </r>
  <r>
    <x v="108"/>
    <x v="102"/>
    <n v="320"/>
    <n v="151"/>
    <x v="1"/>
    <x v="1"/>
    <x v="14"/>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FD9F9-D96D-492F-AA79-3F4C7502EE7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A66:B7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108"/>
        <item x="49"/>
        <item x="46"/>
        <item x="83"/>
        <item x="103"/>
        <item x="44"/>
        <item x="55"/>
        <item x="78"/>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measureFilter="1" sortType="descending">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showAll="0"/>
    <pivotField showAll="0"/>
    <pivotField dataField="1" showAll="0"/>
    <pivotField showAll="0">
      <items count="5">
        <item x="1"/>
        <item x="0"/>
        <item x="2"/>
        <item x="3"/>
        <item t="default"/>
      </items>
    </pivotField>
  </pivotFields>
  <rowFields count="1">
    <field x="0"/>
  </rowFields>
  <rowItems count="8">
    <i>
      <x v="40"/>
    </i>
    <i>
      <x v="51"/>
    </i>
    <i>
      <x v="52"/>
    </i>
    <i>
      <x v="57"/>
    </i>
    <i>
      <x v="65"/>
    </i>
    <i>
      <x v="68"/>
    </i>
    <i>
      <x v="87"/>
    </i>
    <i t="grand">
      <x/>
    </i>
  </rowItems>
  <colItems count="1">
    <i/>
  </colItems>
  <dataFields count="1">
    <dataField name="Rating" fld="7" subtotal="max" baseField="1"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D20C25-2374-468D-8CF0-2DC96D0290F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Products">
  <location ref="A51:B62"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numFmtId="9" showAll="0"/>
    <pivotField showAll="0"/>
    <pivotField dataField="1" showAll="0"/>
    <pivotField showAll="0"/>
    <pivotField showAll="0">
      <items count="5">
        <item x="1"/>
        <item x="0"/>
        <item x="2"/>
        <item x="3"/>
        <item t="default"/>
      </items>
    </pivotField>
  </pivotFields>
  <rowFields count="1">
    <field x="0"/>
  </rowFields>
  <rowItems count="11">
    <i>
      <x v="5"/>
    </i>
    <i>
      <x v="8"/>
    </i>
    <i>
      <x v="59"/>
    </i>
    <i>
      <x v="18"/>
    </i>
    <i>
      <x v="1"/>
    </i>
    <i>
      <x v="95"/>
    </i>
    <i>
      <x v="27"/>
    </i>
    <i>
      <x v="91"/>
    </i>
    <i>
      <x v="28"/>
    </i>
    <i>
      <x v="26"/>
    </i>
    <i t="grand">
      <x/>
    </i>
  </rowItems>
  <colItems count="1">
    <i/>
  </colItems>
  <dataFields count="1">
    <dataField name="Reviews" fld="6"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C02EE-B88F-487C-A000-69A5E0785B40}" name="PivotTable8" cacheId="2"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iscount Category">
  <location ref="A86:C89" firstHeaderRow="0" firstDataRow="1" firstDataCol="1"/>
  <pivotFields count="9">
    <pivotField showAll="0"/>
    <pivotField numFmtId="164" showAll="0"/>
    <pivotField showAll="0"/>
    <pivotField numFmtId="164" showAll="0"/>
    <pivotField numFmtId="9" showAll="0"/>
    <pivotField axis="axisRow" showAll="0">
      <items count="4">
        <item x="1"/>
        <item x="2"/>
        <item h="1" x="0"/>
        <item t="default"/>
      </items>
    </pivotField>
    <pivotField dataField="1" showAll="0"/>
    <pivotField dataField="1" showAll="0"/>
    <pivotField showAll="0">
      <items count="5">
        <item x="1"/>
        <item x="0"/>
        <item x="2"/>
        <item x="3"/>
        <item t="default"/>
      </items>
    </pivotField>
  </pivotFields>
  <rowFields count="1">
    <field x="5"/>
  </rowFields>
  <rowItems count="3">
    <i>
      <x/>
    </i>
    <i>
      <x v="1"/>
    </i>
    <i t="grand">
      <x/>
    </i>
  </rowItems>
  <colFields count="1">
    <field x="-2"/>
  </colFields>
  <colItems count="2">
    <i>
      <x/>
    </i>
    <i i="1">
      <x v="1"/>
    </i>
  </colItems>
  <dataFields count="2">
    <dataField name="Average Ratings" fld="7" subtotal="average" baseField="5" baseItem="0" numFmtId="167"/>
    <dataField name="No. of Reviews" fld="6" subtotal="count" baseField="0" baseItem="0"/>
  </dataFields>
  <chartFormats count="5">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7E8292-6531-4A6D-8333-045CCB769DE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E113" firstHeaderRow="0"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 dataField="1" numFmtId="9" showAll="0"/>
    <pivotField showAll="0"/>
    <pivotField dataField="1" showAll="0"/>
    <pivotField dataField="1" showAll="0"/>
    <pivotField showAll="0">
      <items count="5">
        <item x="1"/>
        <item x="0"/>
        <item x="2"/>
        <item x="3"/>
        <item t="default"/>
      </items>
    </pivotField>
  </pivotFields>
  <rowFields count="1">
    <field x="0"/>
  </rowFields>
  <rowItems count="6">
    <i>
      <x v="8"/>
    </i>
    <i>
      <x v="18"/>
    </i>
    <i>
      <x v="1"/>
    </i>
    <i>
      <x v="5"/>
    </i>
    <i>
      <x v="59"/>
    </i>
    <i t="grand">
      <x/>
    </i>
  </rowItems>
  <colFields count="1">
    <field x="-2"/>
  </colFields>
  <colItems count="4">
    <i>
      <x/>
    </i>
    <i i="1">
      <x v="1"/>
    </i>
    <i i="2">
      <x v="2"/>
    </i>
    <i i="3">
      <x v="3"/>
    </i>
  </colItems>
  <dataFields count="4">
    <dataField name="Max of Current Price" fld="1" subtotal="max" baseField="0" baseItem="0" numFmtId="164"/>
    <dataField name="Max of Review" fld="6" subtotal="max" baseField="0" baseItem="0"/>
    <dataField name="Max of Ratings" fld="7" subtotal="max" baseField="0" baseItem="0"/>
    <dataField name="Max of Discount" fld="4" subtotal="max" baseField="0" baseItem="0" numFmtId="9"/>
  </dataField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8A3488-7037-4C72-BBB7-ED7CB61031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B30" firstHeaderRow="1" firstDataRow="1" firstDataCol="1"/>
  <pivotFields count="9">
    <pivotField showAll="0"/>
    <pivotField numFmtId="164" showAll="0"/>
    <pivotField showAll="0"/>
    <pivotField numFmtId="164" showAll="0"/>
    <pivotField numFmtId="9" showAll="0"/>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6" baseField="7"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01CE37-F964-436D-A034-F34EF1700D8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Products">
  <location ref="A35:B47"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dataField="1" numFmtId="9" showAll="0"/>
    <pivotField showAll="0"/>
    <pivotField showAll="0"/>
    <pivotField showAll="0"/>
    <pivotField showAll="0">
      <items count="5">
        <item x="1"/>
        <item x="0"/>
        <item x="2"/>
        <item x="3"/>
        <item t="default"/>
      </items>
    </pivotField>
  </pivotFields>
  <rowFields count="1">
    <field x="0"/>
  </rowFields>
  <rowItems count="12">
    <i>
      <x v="31"/>
    </i>
    <i>
      <x v="53"/>
    </i>
    <i>
      <x v="30"/>
    </i>
    <i>
      <x v="70"/>
    </i>
    <i>
      <x v="99"/>
    </i>
    <i>
      <x v="84"/>
    </i>
    <i>
      <x v="67"/>
    </i>
    <i>
      <x v="52"/>
    </i>
    <i>
      <x v="20"/>
    </i>
    <i>
      <x v="64"/>
    </i>
    <i>
      <x v="60"/>
    </i>
    <i t="grand">
      <x/>
    </i>
  </rowItems>
  <colItems count="1">
    <i/>
  </colItems>
  <dataFields count="1">
    <dataField name="Discounts" fld="4" subtotal="max"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456972-1CF0-45A6-93D3-F766B6DF50A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6:E102" firstHeaderRow="1" firstDataRow="2" firstDataCol="1"/>
  <pivotFields count="9">
    <pivotField dataField="1" showAll="0" countASubtotal="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countA"/>
      </items>
    </pivotField>
    <pivotField numFmtId="164" showAll="0"/>
    <pivotField showAll="0"/>
    <pivotField numFmtId="164"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Col" showAll="0">
      <items count="4">
        <item x="1"/>
        <item x="2"/>
        <item x="0"/>
        <item t="default"/>
      </items>
    </pivotField>
    <pivotField showAll="0"/>
    <pivotField showAll="0"/>
    <pivotField axis="axisRow" showAll="0">
      <items count="5">
        <item x="1"/>
        <item x="0"/>
        <item x="2"/>
        <item x="3"/>
        <item t="default"/>
      </items>
    </pivotField>
  </pivotFields>
  <rowFields count="1">
    <field x="8"/>
  </rowFields>
  <rowItems count="5">
    <i>
      <x/>
    </i>
    <i>
      <x v="1"/>
    </i>
    <i>
      <x v="2"/>
    </i>
    <i>
      <x v="3"/>
    </i>
    <i t="grand">
      <x/>
    </i>
  </rowItems>
  <colFields count="1">
    <field x="5"/>
  </colFields>
  <colItems count="4">
    <i>
      <x/>
    </i>
    <i>
      <x v="1"/>
    </i>
    <i>
      <x v="2"/>
    </i>
    <i t="grand">
      <x/>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81F419-A3FA-4923-9548-BF1F6AA8D52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E93" firstHeaderRow="0" firstDataRow="1" firstDataCol="0"/>
  <pivotFields count="9">
    <pivotField showAll="0" countASubtotal="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countA"/>
      </items>
    </pivotField>
    <pivotField dataField="1" numFmtId="164" showAll="0"/>
    <pivotField showAll="0"/>
    <pivotField numFmtId="164" showAll="0"/>
    <pivotField dataField="1" numFmtId="9" showAll="0"/>
    <pivotField showAll="0"/>
    <pivotField dataField="1" showAll="0"/>
    <pivotField dataField="1" showAll="0"/>
    <pivotField showAll="0">
      <items count="5">
        <item x="1"/>
        <item x="0"/>
        <item x="2"/>
        <item x="3"/>
        <item t="default"/>
      </items>
    </pivotField>
  </pivotFields>
  <rowItems count="1">
    <i/>
  </rowItems>
  <colFields count="1">
    <field x="-2"/>
  </colFields>
  <colItems count="5">
    <i>
      <x/>
    </i>
    <i i="1">
      <x v="1"/>
    </i>
    <i i="2">
      <x v="2"/>
    </i>
    <i i="3">
      <x v="3"/>
    </i>
    <i i="4">
      <x v="4"/>
    </i>
  </colItems>
  <dataFields count="5">
    <dataField name="Average of Discount" fld="4" subtotal="average" baseField="0" baseItem="1" numFmtId="9"/>
    <dataField name="Number of Reviews" fld="6" subtotal="count" baseField="0" baseItem="0"/>
    <dataField name="Average order value" fld="1" subtotal="average" baseField="0" baseItem="1" numFmtId="168"/>
    <dataField name="Average of Ratings" fld="7" subtotal="average" baseField="0" baseItem="1" numFmtId="167"/>
    <dataField name="Total Revenue" fld="1" baseField="0" baseItem="4" numFmtId="168"/>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69D59-D926-4C28-B4C5-37DF214FDF4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A77:B83"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showAll="0"/>
    <pivotField numFmtId="164" showAll="0"/>
    <pivotField numFmtId="9" showAll="0"/>
    <pivotField showAll="0"/>
    <pivotField showAll="0"/>
    <pivotField dataField="1" showAll="0"/>
    <pivotField showAll="0">
      <items count="5">
        <item x="1"/>
        <item x="0"/>
        <item x="2"/>
        <item x="3"/>
        <item t="default"/>
      </items>
    </pivotField>
  </pivotFields>
  <rowFields count="1">
    <field x="0"/>
  </rowFields>
  <rowItems count="6">
    <i>
      <x v="30"/>
    </i>
    <i>
      <x v="35"/>
    </i>
    <i>
      <x v="41"/>
    </i>
    <i>
      <x v="58"/>
    </i>
    <i>
      <x v="104"/>
    </i>
    <i t="grand">
      <x/>
    </i>
  </rowItems>
  <colItems count="1">
    <i/>
  </colItems>
  <dataFields count="1">
    <dataField name="Max of Ratings" fld="7" subtotal="max"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Between" evalOrder="-1" id="3" iMeasureFld="0">
      <autoFilter ref="A1">
        <filterColumn colId="0">
          <customFilters and="1">
            <customFilter operator="greaterThanOrEqual" val="0.1"/>
            <customFilter operator="lessThanOrEqual" val="2.200000000000000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F0FCB1C-4F58-4C84-9EC2-4E4BA2E46EF0}" sourceName="Discount Category">
  <pivotTables>
    <pivotTable tabId="3" name="PivotTable11"/>
  </pivotTables>
  <data>
    <tabular pivotCacheId="199056982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5B95DD9-D84B-4F6B-99E9-B1DC4D083A0B}" sourceName="Rating Category">
  <pivotTables>
    <pivotTable tabId="3" name="PivotTable11"/>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s>
  <data>
    <tabular pivotCacheId="1990569823">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1098D366-10E5-4166-8B89-394A24738E23}" cache="Slicer_Discount_Category" caption="Discount Category" rowHeight="251883"/>
  <slicer name="Rating Category" xr10:uid="{7A2EAC3A-F6C6-4010-8867-BE812A668BED}" cache="Slicer_Rating_Category" caption="Rating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E5A2B033-EC31-481F-B650-33EC68ABE0A6}" cache="Slicer_Discount_Category" caption="Discount Category" style="Slicer Style 1" rowHeight="396000"/>
  <slicer name="Rating Category 1" xr10:uid="{D3F7AF50-B068-4AB1-82CC-98E2B99F1E10}" cache="Slicer_Rating_Category" caption="Rating Category" style="Slicer Style 1"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D39E-2673-491B-B495-A3DB41789177}">
  <dimension ref="A1:F116"/>
  <sheetViews>
    <sheetView workbookViewId="0">
      <selection activeCell="I17" sqref="I17"/>
    </sheetView>
  </sheetViews>
  <sheetFormatPr defaultRowHeight="14.5" x14ac:dyDescent="0.35"/>
  <sheetData>
    <row r="1" spans="1:6" x14ac:dyDescent="0.35">
      <c r="A1" t="s">
        <v>0</v>
      </c>
      <c r="B1" t="s">
        <v>359</v>
      </c>
      <c r="C1" t="s">
        <v>358</v>
      </c>
      <c r="D1" t="s">
        <v>1</v>
      </c>
      <c r="E1" t="s">
        <v>2</v>
      </c>
      <c r="F1" t="s">
        <v>357</v>
      </c>
    </row>
    <row r="2" spans="1:6" x14ac:dyDescent="0.35">
      <c r="A2" t="s">
        <v>3</v>
      </c>
      <c r="B2" t="s">
        <v>356</v>
      </c>
      <c r="C2" t="s">
        <v>355</v>
      </c>
      <c r="D2" s="1">
        <v>0.38</v>
      </c>
      <c r="E2">
        <v>-2</v>
      </c>
      <c r="F2" t="s">
        <v>283</v>
      </c>
    </row>
    <row r="3" spans="1:6" x14ac:dyDescent="0.35">
      <c r="A3" t="s">
        <v>4</v>
      </c>
      <c r="B3" t="s">
        <v>354</v>
      </c>
      <c r="C3" t="s">
        <v>274</v>
      </c>
      <c r="D3" s="1">
        <v>0.47</v>
      </c>
      <c r="E3">
        <v>-14</v>
      </c>
      <c r="F3" t="s">
        <v>305</v>
      </c>
    </row>
    <row r="4" spans="1:6" x14ac:dyDescent="0.35">
      <c r="A4" t="s">
        <v>5</v>
      </c>
      <c r="B4" t="s">
        <v>216</v>
      </c>
      <c r="C4" t="s">
        <v>353</v>
      </c>
      <c r="D4" s="1">
        <v>0.25</v>
      </c>
      <c r="E4">
        <v>-24</v>
      </c>
      <c r="F4" t="s">
        <v>313</v>
      </c>
    </row>
    <row r="5" spans="1:6" x14ac:dyDescent="0.35">
      <c r="A5" t="s">
        <v>6</v>
      </c>
      <c r="B5" t="s">
        <v>346</v>
      </c>
      <c r="C5" t="s">
        <v>306</v>
      </c>
      <c r="D5" s="1">
        <v>0.37</v>
      </c>
      <c r="E5">
        <v>-7</v>
      </c>
      <c r="F5" t="s">
        <v>295</v>
      </c>
    </row>
    <row r="6" spans="1:6" x14ac:dyDescent="0.35">
      <c r="A6" t="s">
        <v>7</v>
      </c>
      <c r="B6" t="s">
        <v>352</v>
      </c>
      <c r="C6" t="s">
        <v>351</v>
      </c>
      <c r="D6" s="1">
        <v>0.26</v>
      </c>
      <c r="E6">
        <v>-5</v>
      </c>
      <c r="F6" t="s">
        <v>338</v>
      </c>
    </row>
    <row r="7" spans="1:6" x14ac:dyDescent="0.35">
      <c r="A7" t="s">
        <v>8</v>
      </c>
      <c r="B7" t="s">
        <v>328</v>
      </c>
      <c r="C7" t="s">
        <v>350</v>
      </c>
      <c r="D7" s="1">
        <v>0.09</v>
      </c>
      <c r="E7">
        <v>-15</v>
      </c>
      <c r="F7" t="s">
        <v>207</v>
      </c>
    </row>
    <row r="8" spans="1:6" x14ac:dyDescent="0.35">
      <c r="A8" t="s">
        <v>9</v>
      </c>
      <c r="B8" t="s">
        <v>349</v>
      </c>
      <c r="C8" t="s">
        <v>348</v>
      </c>
      <c r="D8" s="1">
        <v>0.24</v>
      </c>
      <c r="E8">
        <v>-55</v>
      </c>
      <c r="F8" t="s">
        <v>313</v>
      </c>
    </row>
    <row r="9" spans="1:6" x14ac:dyDescent="0.35">
      <c r="A9" t="s">
        <v>10</v>
      </c>
      <c r="B9" t="s">
        <v>347</v>
      </c>
      <c r="C9" t="s">
        <v>346</v>
      </c>
      <c r="D9" s="1">
        <v>0.37</v>
      </c>
      <c r="E9">
        <v>-2</v>
      </c>
      <c r="F9" t="s">
        <v>207</v>
      </c>
    </row>
    <row r="10" spans="1:6" x14ac:dyDescent="0.35">
      <c r="A10" t="s">
        <v>11</v>
      </c>
      <c r="B10" t="s">
        <v>345</v>
      </c>
      <c r="C10" t="s">
        <v>344</v>
      </c>
      <c r="D10" s="1">
        <v>0.55000000000000004</v>
      </c>
      <c r="E10">
        <v>-5</v>
      </c>
      <c r="F10" t="s">
        <v>338</v>
      </c>
    </row>
    <row r="11" spans="1:6" x14ac:dyDescent="0.35">
      <c r="A11" t="s">
        <v>12</v>
      </c>
      <c r="B11" t="s">
        <v>343</v>
      </c>
      <c r="C11" t="s">
        <v>342</v>
      </c>
      <c r="D11" s="1">
        <v>0.45</v>
      </c>
      <c r="E11">
        <v>-5</v>
      </c>
      <c r="F11" t="s">
        <v>308</v>
      </c>
    </row>
    <row r="12" spans="1:6" x14ac:dyDescent="0.35">
      <c r="A12" t="s">
        <v>13</v>
      </c>
      <c r="B12" t="s">
        <v>199</v>
      </c>
      <c r="C12" t="s">
        <v>274</v>
      </c>
      <c r="D12" s="1">
        <v>0.2</v>
      </c>
      <c r="E12">
        <v>-12</v>
      </c>
      <c r="F12" t="s">
        <v>305</v>
      </c>
    </row>
    <row r="13" spans="1:6" x14ac:dyDescent="0.35">
      <c r="A13" t="s">
        <v>14</v>
      </c>
      <c r="B13" t="s">
        <v>241</v>
      </c>
      <c r="C13" t="s">
        <v>341</v>
      </c>
      <c r="D13" s="1">
        <v>0.34</v>
      </c>
      <c r="E13">
        <v>-39</v>
      </c>
      <c r="F13" t="s">
        <v>295</v>
      </c>
    </row>
    <row r="14" spans="1:6" x14ac:dyDescent="0.35">
      <c r="A14" t="s">
        <v>15</v>
      </c>
      <c r="B14" t="s">
        <v>340</v>
      </c>
      <c r="C14" t="s">
        <v>339</v>
      </c>
      <c r="D14" s="1">
        <v>0.47</v>
      </c>
      <c r="E14">
        <v>-12</v>
      </c>
      <c r="F14" t="s">
        <v>338</v>
      </c>
    </row>
    <row r="15" spans="1:6" x14ac:dyDescent="0.35">
      <c r="A15" t="s">
        <v>16</v>
      </c>
      <c r="B15" t="s">
        <v>337</v>
      </c>
      <c r="C15" t="s">
        <v>336</v>
      </c>
      <c r="D15" s="1">
        <v>0.42</v>
      </c>
      <c r="E15">
        <v>-6</v>
      </c>
      <c r="F15" t="s">
        <v>283</v>
      </c>
    </row>
    <row r="16" spans="1:6" x14ac:dyDescent="0.35">
      <c r="A16" t="s">
        <v>17</v>
      </c>
      <c r="B16" t="s">
        <v>335</v>
      </c>
      <c r="C16" t="s">
        <v>306</v>
      </c>
      <c r="D16" s="1">
        <v>0.33</v>
      </c>
      <c r="E16">
        <v>-9</v>
      </c>
      <c r="F16" t="s">
        <v>334</v>
      </c>
    </row>
    <row r="17" spans="1:6" x14ac:dyDescent="0.35">
      <c r="A17" t="s">
        <v>18</v>
      </c>
      <c r="B17" t="s">
        <v>333</v>
      </c>
      <c r="C17" t="s">
        <v>332</v>
      </c>
      <c r="D17" s="1">
        <v>0.51</v>
      </c>
      <c r="E17">
        <v>-2</v>
      </c>
      <c r="F17" t="s">
        <v>170</v>
      </c>
    </row>
    <row r="18" spans="1:6" x14ac:dyDescent="0.35">
      <c r="A18" t="s">
        <v>19</v>
      </c>
      <c r="B18" t="s">
        <v>331</v>
      </c>
      <c r="C18" t="s">
        <v>289</v>
      </c>
      <c r="D18" s="1">
        <v>0.46</v>
      </c>
      <c r="E18">
        <v>-2</v>
      </c>
      <c r="F18" t="s">
        <v>170</v>
      </c>
    </row>
    <row r="19" spans="1:6" x14ac:dyDescent="0.35">
      <c r="A19" t="s">
        <v>20</v>
      </c>
      <c r="B19" t="s">
        <v>330</v>
      </c>
      <c r="C19" t="s">
        <v>329</v>
      </c>
      <c r="D19" s="1">
        <v>0.49</v>
      </c>
      <c r="E19">
        <v>-3</v>
      </c>
      <c r="F19" t="s">
        <v>170</v>
      </c>
    </row>
    <row r="20" spans="1:6" x14ac:dyDescent="0.35">
      <c r="A20" t="s">
        <v>21</v>
      </c>
      <c r="B20" t="s">
        <v>328</v>
      </c>
      <c r="C20" t="s">
        <v>177</v>
      </c>
      <c r="D20" s="1">
        <v>0.19</v>
      </c>
      <c r="E20">
        <v>-5</v>
      </c>
      <c r="F20" t="s">
        <v>313</v>
      </c>
    </row>
    <row r="21" spans="1:6" x14ac:dyDescent="0.35">
      <c r="A21" t="s">
        <v>22</v>
      </c>
      <c r="B21" t="s">
        <v>327</v>
      </c>
      <c r="C21" t="s">
        <v>326</v>
      </c>
      <c r="D21" s="1">
        <v>0.49</v>
      </c>
      <c r="E21">
        <v>-44</v>
      </c>
      <c r="F21" t="s">
        <v>313</v>
      </c>
    </row>
    <row r="22" spans="1:6" x14ac:dyDescent="0.35">
      <c r="A22" t="s">
        <v>23</v>
      </c>
      <c r="B22" t="s">
        <v>325</v>
      </c>
      <c r="C22" t="s">
        <v>324</v>
      </c>
      <c r="D22" s="1">
        <v>0.53</v>
      </c>
      <c r="E22">
        <v>-13</v>
      </c>
      <c r="F22" t="s">
        <v>323</v>
      </c>
    </row>
    <row r="23" spans="1:6" x14ac:dyDescent="0.35">
      <c r="A23" t="s">
        <v>24</v>
      </c>
      <c r="B23" t="s">
        <v>322</v>
      </c>
      <c r="C23" t="s">
        <v>321</v>
      </c>
      <c r="D23" s="1">
        <v>0.42</v>
      </c>
    </row>
    <row r="24" spans="1:6" x14ac:dyDescent="0.35">
      <c r="A24" t="s">
        <v>25</v>
      </c>
      <c r="B24" t="s">
        <v>320</v>
      </c>
      <c r="C24" t="s">
        <v>310</v>
      </c>
      <c r="D24" s="1">
        <v>0.35</v>
      </c>
      <c r="E24">
        <v>-6</v>
      </c>
      <c r="F24" t="s">
        <v>207</v>
      </c>
    </row>
    <row r="25" spans="1:6" x14ac:dyDescent="0.35">
      <c r="A25" t="s">
        <v>26</v>
      </c>
      <c r="B25" t="s">
        <v>319</v>
      </c>
      <c r="C25" t="s">
        <v>318</v>
      </c>
      <c r="D25" s="1">
        <v>0.23</v>
      </c>
      <c r="E25">
        <v>-14</v>
      </c>
      <c r="F25" t="s">
        <v>317</v>
      </c>
    </row>
    <row r="26" spans="1:6" x14ac:dyDescent="0.35">
      <c r="A26" t="s">
        <v>27</v>
      </c>
      <c r="B26" t="s">
        <v>316</v>
      </c>
      <c r="C26" t="s">
        <v>315</v>
      </c>
      <c r="D26" s="1">
        <v>0.54</v>
      </c>
      <c r="E26">
        <v>-7</v>
      </c>
      <c r="F26" t="s">
        <v>286</v>
      </c>
    </row>
    <row r="27" spans="1:6" x14ac:dyDescent="0.35">
      <c r="A27" t="s">
        <v>28</v>
      </c>
      <c r="B27" t="s">
        <v>314</v>
      </c>
      <c r="C27" t="s">
        <v>208</v>
      </c>
      <c r="D27" s="1">
        <v>0.35</v>
      </c>
      <c r="E27">
        <v>-49</v>
      </c>
      <c r="F27" t="s">
        <v>313</v>
      </c>
    </row>
    <row r="28" spans="1:6" x14ac:dyDescent="0.35">
      <c r="A28" t="s">
        <v>29</v>
      </c>
      <c r="B28" t="s">
        <v>312</v>
      </c>
      <c r="C28" t="s">
        <v>311</v>
      </c>
      <c r="D28" s="1">
        <v>0.18</v>
      </c>
      <c r="E28">
        <v>-12</v>
      </c>
      <c r="F28" t="s">
        <v>308</v>
      </c>
    </row>
    <row r="29" spans="1:6" x14ac:dyDescent="0.35">
      <c r="A29" t="s">
        <v>30</v>
      </c>
      <c r="B29" t="s">
        <v>310</v>
      </c>
      <c r="C29" t="s">
        <v>309</v>
      </c>
      <c r="D29" s="1">
        <v>0.32</v>
      </c>
      <c r="E29">
        <v>-13</v>
      </c>
      <c r="F29" t="s">
        <v>308</v>
      </c>
    </row>
    <row r="30" spans="1:6" x14ac:dyDescent="0.35">
      <c r="A30" t="s">
        <v>31</v>
      </c>
      <c r="B30" t="s">
        <v>307</v>
      </c>
      <c r="C30" t="s">
        <v>306</v>
      </c>
      <c r="D30" s="1">
        <v>0.3</v>
      </c>
      <c r="E30">
        <v>-20</v>
      </c>
      <c r="F30" t="s">
        <v>305</v>
      </c>
    </row>
    <row r="31" spans="1:6" x14ac:dyDescent="0.35">
      <c r="A31" t="s">
        <v>32</v>
      </c>
      <c r="B31" t="s">
        <v>304</v>
      </c>
      <c r="C31" t="s">
        <v>303</v>
      </c>
      <c r="D31" s="1">
        <v>0.46</v>
      </c>
    </row>
    <row r="32" spans="1:6" x14ac:dyDescent="0.35">
      <c r="A32" t="s">
        <v>33</v>
      </c>
      <c r="B32" t="s">
        <v>302</v>
      </c>
      <c r="C32" t="s">
        <v>236</v>
      </c>
      <c r="D32" s="1">
        <v>0.52</v>
      </c>
      <c r="E32">
        <v>-9</v>
      </c>
      <c r="F32" t="s">
        <v>286</v>
      </c>
    </row>
    <row r="33" spans="1:6" x14ac:dyDescent="0.35">
      <c r="A33" t="s">
        <v>34</v>
      </c>
      <c r="B33" t="s">
        <v>301</v>
      </c>
      <c r="C33" t="s">
        <v>300</v>
      </c>
      <c r="D33" s="1">
        <v>0.34</v>
      </c>
      <c r="E33">
        <v>-12</v>
      </c>
      <c r="F33" t="s">
        <v>295</v>
      </c>
    </row>
    <row r="34" spans="1:6" x14ac:dyDescent="0.35">
      <c r="A34" t="s">
        <v>35</v>
      </c>
      <c r="B34" t="s">
        <v>299</v>
      </c>
      <c r="C34" t="s">
        <v>298</v>
      </c>
      <c r="D34" s="1">
        <v>0.48</v>
      </c>
      <c r="E34">
        <v>-9</v>
      </c>
      <c r="F34" t="s">
        <v>286</v>
      </c>
    </row>
    <row r="35" spans="1:6" x14ac:dyDescent="0.35">
      <c r="A35" t="s">
        <v>36</v>
      </c>
      <c r="B35" t="s">
        <v>297</v>
      </c>
      <c r="C35" t="s">
        <v>296</v>
      </c>
      <c r="D35" s="1">
        <v>0.27</v>
      </c>
      <c r="E35">
        <v>-20</v>
      </c>
      <c r="F35" t="s">
        <v>295</v>
      </c>
    </row>
    <row r="36" spans="1:6" x14ac:dyDescent="0.35">
      <c r="A36" t="s">
        <v>37</v>
      </c>
      <c r="B36" t="s">
        <v>294</v>
      </c>
      <c r="C36" t="s">
        <v>293</v>
      </c>
      <c r="D36" s="1">
        <v>0.27</v>
      </c>
      <c r="E36">
        <v>-32</v>
      </c>
      <c r="F36" t="s">
        <v>283</v>
      </c>
    </row>
    <row r="37" spans="1:6" x14ac:dyDescent="0.35">
      <c r="A37" t="s">
        <v>38</v>
      </c>
      <c r="B37" t="s">
        <v>292</v>
      </c>
      <c r="C37" t="s">
        <v>291</v>
      </c>
      <c r="D37" s="1">
        <v>0.4</v>
      </c>
      <c r="E37">
        <v>-1</v>
      </c>
      <c r="F37" t="s">
        <v>170</v>
      </c>
    </row>
    <row r="38" spans="1:6" x14ac:dyDescent="0.35">
      <c r="A38" t="s">
        <v>39</v>
      </c>
      <c r="B38" t="s">
        <v>290</v>
      </c>
      <c r="C38" t="s">
        <v>289</v>
      </c>
      <c r="D38" s="1">
        <v>0.53</v>
      </c>
      <c r="E38">
        <v>-2</v>
      </c>
      <c r="F38" t="s">
        <v>170</v>
      </c>
    </row>
    <row r="39" spans="1:6" x14ac:dyDescent="0.35">
      <c r="A39" t="s">
        <v>40</v>
      </c>
      <c r="B39" t="s">
        <v>288</v>
      </c>
      <c r="C39" t="s">
        <v>287</v>
      </c>
      <c r="D39" s="1">
        <v>0.41</v>
      </c>
      <c r="E39">
        <v>-36</v>
      </c>
      <c r="F39" t="s">
        <v>286</v>
      </c>
    </row>
    <row r="40" spans="1:6" x14ac:dyDescent="0.35">
      <c r="A40" t="s">
        <v>41</v>
      </c>
      <c r="B40" t="s">
        <v>285</v>
      </c>
      <c r="C40" t="s">
        <v>284</v>
      </c>
      <c r="D40" s="1">
        <v>0.38</v>
      </c>
      <c r="E40">
        <v>-2</v>
      </c>
      <c r="F40" t="s">
        <v>283</v>
      </c>
    </row>
    <row r="41" spans="1:6" x14ac:dyDescent="0.35">
      <c r="A41" t="s">
        <v>42</v>
      </c>
      <c r="B41" t="s">
        <v>282</v>
      </c>
      <c r="C41" t="s">
        <v>281</v>
      </c>
      <c r="D41" s="1">
        <v>0.38</v>
      </c>
    </row>
    <row r="42" spans="1:6" x14ac:dyDescent="0.35">
      <c r="A42" t="s">
        <v>43</v>
      </c>
      <c r="B42" t="s">
        <v>280</v>
      </c>
      <c r="C42" t="s">
        <v>279</v>
      </c>
      <c r="D42" s="1">
        <v>0.49</v>
      </c>
    </row>
    <row r="43" spans="1:6" x14ac:dyDescent="0.35">
      <c r="A43" t="s">
        <v>44</v>
      </c>
      <c r="B43" t="s">
        <v>278</v>
      </c>
      <c r="C43" t="s">
        <v>277</v>
      </c>
      <c r="D43" s="1">
        <v>0.5</v>
      </c>
    </row>
    <row r="44" spans="1:6" x14ac:dyDescent="0.35">
      <c r="A44" t="s">
        <v>45</v>
      </c>
      <c r="B44" t="s">
        <v>206</v>
      </c>
      <c r="C44" t="s">
        <v>205</v>
      </c>
      <c r="D44" s="1">
        <v>0.42</v>
      </c>
    </row>
    <row r="45" spans="1:6" x14ac:dyDescent="0.35">
      <c r="A45" t="s">
        <v>45</v>
      </c>
      <c r="B45" t="s">
        <v>206</v>
      </c>
      <c r="C45" t="s">
        <v>205</v>
      </c>
      <c r="D45" s="1">
        <v>0.42</v>
      </c>
    </row>
    <row r="46" spans="1:6" x14ac:dyDescent="0.35">
      <c r="A46" t="s">
        <v>46</v>
      </c>
      <c r="B46" t="s">
        <v>276</v>
      </c>
      <c r="C46" t="s">
        <v>275</v>
      </c>
      <c r="D46" s="1">
        <v>0.02</v>
      </c>
    </row>
    <row r="47" spans="1:6" x14ac:dyDescent="0.35">
      <c r="A47" t="s">
        <v>47</v>
      </c>
      <c r="B47" t="s">
        <v>274</v>
      </c>
      <c r="C47" t="s">
        <v>239</v>
      </c>
      <c r="D47" s="1">
        <v>0.5</v>
      </c>
    </row>
    <row r="48" spans="1:6" x14ac:dyDescent="0.35">
      <c r="A48" t="s">
        <v>48</v>
      </c>
      <c r="B48" t="s">
        <v>161</v>
      </c>
      <c r="C48" t="s">
        <v>273</v>
      </c>
      <c r="D48" s="1">
        <v>0.33</v>
      </c>
    </row>
    <row r="49" spans="1:6" x14ac:dyDescent="0.35">
      <c r="A49" t="s">
        <v>49</v>
      </c>
      <c r="B49" t="s">
        <v>272</v>
      </c>
      <c r="C49" t="s">
        <v>271</v>
      </c>
      <c r="D49" s="1">
        <v>0.49</v>
      </c>
    </row>
    <row r="50" spans="1:6" x14ac:dyDescent="0.35">
      <c r="A50" t="s">
        <v>50</v>
      </c>
      <c r="B50" t="s">
        <v>186</v>
      </c>
      <c r="C50" t="s">
        <v>270</v>
      </c>
      <c r="D50" s="1">
        <v>0.38</v>
      </c>
    </row>
    <row r="51" spans="1:6" x14ac:dyDescent="0.35">
      <c r="A51" t="s">
        <v>51</v>
      </c>
      <c r="B51" t="s">
        <v>155</v>
      </c>
      <c r="C51" t="s">
        <v>269</v>
      </c>
      <c r="D51" s="1">
        <v>0.61</v>
      </c>
    </row>
    <row r="52" spans="1:6" x14ac:dyDescent="0.35">
      <c r="A52" t="s">
        <v>52</v>
      </c>
      <c r="B52" t="s">
        <v>267</v>
      </c>
      <c r="C52" t="s">
        <v>268</v>
      </c>
      <c r="D52" s="1">
        <v>0.5</v>
      </c>
    </row>
    <row r="53" spans="1:6" x14ac:dyDescent="0.35">
      <c r="A53" t="s">
        <v>53</v>
      </c>
      <c r="B53" t="s">
        <v>183</v>
      </c>
      <c r="C53" t="s">
        <v>158</v>
      </c>
      <c r="D53" s="1">
        <v>0.02</v>
      </c>
    </row>
    <row r="54" spans="1:6" x14ac:dyDescent="0.35">
      <c r="A54" t="s">
        <v>54</v>
      </c>
      <c r="B54" t="s">
        <v>267</v>
      </c>
      <c r="C54" t="s">
        <v>266</v>
      </c>
      <c r="D54" s="1">
        <v>0.22</v>
      </c>
    </row>
    <row r="55" spans="1:6" x14ac:dyDescent="0.35">
      <c r="A55" t="s">
        <v>55</v>
      </c>
      <c r="B55" t="s">
        <v>265</v>
      </c>
      <c r="C55" t="s">
        <v>181</v>
      </c>
      <c r="D55" s="1">
        <v>0.03</v>
      </c>
    </row>
    <row r="56" spans="1:6" x14ac:dyDescent="0.35">
      <c r="A56" t="s">
        <v>56</v>
      </c>
      <c r="B56" t="s">
        <v>199</v>
      </c>
      <c r="C56" t="s">
        <v>262</v>
      </c>
      <c r="D56" s="1">
        <v>0.41</v>
      </c>
    </row>
    <row r="57" spans="1:6" x14ac:dyDescent="0.35">
      <c r="A57" t="s">
        <v>57</v>
      </c>
      <c r="B57" t="s">
        <v>264</v>
      </c>
      <c r="C57" t="s">
        <v>152</v>
      </c>
      <c r="D57" s="1">
        <v>0.45</v>
      </c>
    </row>
    <row r="58" spans="1:6" x14ac:dyDescent="0.35">
      <c r="A58" t="s">
        <v>58</v>
      </c>
      <c r="B58" t="s">
        <v>263</v>
      </c>
      <c r="C58" t="s">
        <v>262</v>
      </c>
      <c r="D58" s="1">
        <v>0.48</v>
      </c>
    </row>
    <row r="59" spans="1:6" x14ac:dyDescent="0.35">
      <c r="A59" t="s">
        <v>59</v>
      </c>
      <c r="B59" t="s">
        <v>199</v>
      </c>
      <c r="C59" t="s">
        <v>261</v>
      </c>
      <c r="D59" s="1">
        <v>0.49</v>
      </c>
    </row>
    <row r="60" spans="1:6" x14ac:dyDescent="0.35">
      <c r="A60" t="s">
        <v>60</v>
      </c>
      <c r="B60" t="s">
        <v>260</v>
      </c>
      <c r="C60" t="s">
        <v>259</v>
      </c>
      <c r="D60" s="1">
        <v>0.27</v>
      </c>
    </row>
    <row r="61" spans="1:6" x14ac:dyDescent="0.35">
      <c r="A61" t="s">
        <v>57</v>
      </c>
      <c r="B61" t="s">
        <v>258</v>
      </c>
      <c r="C61" t="s">
        <v>257</v>
      </c>
      <c r="D61" s="1">
        <v>0.55000000000000004</v>
      </c>
    </row>
    <row r="62" spans="1:6" x14ac:dyDescent="0.35">
      <c r="A62" t="s">
        <v>61</v>
      </c>
      <c r="B62" t="s">
        <v>256</v>
      </c>
      <c r="C62" t="s">
        <v>190</v>
      </c>
      <c r="D62" s="1">
        <v>0.13</v>
      </c>
      <c r="E62">
        <v>-6</v>
      </c>
      <c r="F62" t="s">
        <v>255</v>
      </c>
    </row>
    <row r="63" spans="1:6" x14ac:dyDescent="0.35">
      <c r="A63" t="s">
        <v>62</v>
      </c>
      <c r="B63" t="s">
        <v>254</v>
      </c>
      <c r="C63" t="s">
        <v>253</v>
      </c>
      <c r="D63" s="1">
        <v>0.54</v>
      </c>
      <c r="E63">
        <v>-10</v>
      </c>
      <c r="F63" t="s">
        <v>215</v>
      </c>
    </row>
    <row r="64" spans="1:6" x14ac:dyDescent="0.35">
      <c r="A64" t="s">
        <v>63</v>
      </c>
      <c r="B64" t="s">
        <v>252</v>
      </c>
      <c r="C64" t="s">
        <v>251</v>
      </c>
      <c r="D64" s="1">
        <v>0.55000000000000004</v>
      </c>
      <c r="E64">
        <v>-13</v>
      </c>
      <c r="F64" t="s">
        <v>223</v>
      </c>
    </row>
    <row r="65" spans="1:6" x14ac:dyDescent="0.35">
      <c r="A65" t="s">
        <v>64</v>
      </c>
      <c r="B65" t="s">
        <v>250</v>
      </c>
      <c r="C65" t="s">
        <v>249</v>
      </c>
      <c r="D65" s="1">
        <v>0.49</v>
      </c>
      <c r="E65">
        <v>-69</v>
      </c>
      <c r="F65" t="s">
        <v>248</v>
      </c>
    </row>
    <row r="66" spans="1:6" x14ac:dyDescent="0.35">
      <c r="A66" t="s">
        <v>65</v>
      </c>
      <c r="B66" t="s">
        <v>247</v>
      </c>
      <c r="C66" t="s">
        <v>246</v>
      </c>
      <c r="D66" s="1">
        <v>0.52</v>
      </c>
      <c r="E66">
        <v>-15</v>
      </c>
      <c r="F66" t="s">
        <v>245</v>
      </c>
    </row>
    <row r="67" spans="1:6" x14ac:dyDescent="0.35">
      <c r="A67" t="s">
        <v>66</v>
      </c>
      <c r="B67" t="s">
        <v>244</v>
      </c>
      <c r="C67" t="s">
        <v>243</v>
      </c>
      <c r="D67" s="1">
        <v>0.22</v>
      </c>
      <c r="E67">
        <v>-16</v>
      </c>
      <c r="F67" t="s">
        <v>242</v>
      </c>
    </row>
    <row r="68" spans="1:6" x14ac:dyDescent="0.35">
      <c r="A68" t="s">
        <v>67</v>
      </c>
      <c r="B68" t="s">
        <v>241</v>
      </c>
      <c r="C68" t="s">
        <v>227</v>
      </c>
      <c r="D68" s="1">
        <v>0.45</v>
      </c>
      <c r="E68">
        <v>-6</v>
      </c>
      <c r="F68" t="s">
        <v>226</v>
      </c>
    </row>
    <row r="69" spans="1:6" x14ac:dyDescent="0.35">
      <c r="A69" t="s">
        <v>68</v>
      </c>
      <c r="B69" t="s">
        <v>240</v>
      </c>
      <c r="C69" t="s">
        <v>239</v>
      </c>
      <c r="D69" s="1">
        <v>0.5</v>
      </c>
      <c r="E69">
        <v>-7</v>
      </c>
      <c r="F69" t="s">
        <v>230</v>
      </c>
    </row>
    <row r="70" spans="1:6" x14ac:dyDescent="0.35">
      <c r="A70" t="s">
        <v>69</v>
      </c>
      <c r="B70" t="s">
        <v>238</v>
      </c>
      <c r="C70" t="s">
        <v>237</v>
      </c>
      <c r="D70" s="1">
        <v>0.39</v>
      </c>
      <c r="E70">
        <v>-5</v>
      </c>
      <c r="F70" t="s">
        <v>215</v>
      </c>
    </row>
    <row r="71" spans="1:6" x14ac:dyDescent="0.35">
      <c r="A71" t="s">
        <v>70</v>
      </c>
      <c r="B71" t="s">
        <v>236</v>
      </c>
      <c r="C71" t="s">
        <v>235</v>
      </c>
      <c r="D71" s="1">
        <v>0.45</v>
      </c>
      <c r="E71">
        <v>-17</v>
      </c>
      <c r="F71" t="s">
        <v>234</v>
      </c>
    </row>
    <row r="72" spans="1:6" x14ac:dyDescent="0.35">
      <c r="A72" t="s">
        <v>71</v>
      </c>
      <c r="B72" t="s">
        <v>233</v>
      </c>
      <c r="C72" t="s">
        <v>232</v>
      </c>
      <c r="D72" s="1">
        <v>0.28999999999999998</v>
      </c>
      <c r="E72">
        <v>-5</v>
      </c>
      <c r="F72" t="s">
        <v>215</v>
      </c>
    </row>
    <row r="73" spans="1:6" x14ac:dyDescent="0.35">
      <c r="A73" t="s">
        <v>72</v>
      </c>
      <c r="B73" t="s">
        <v>203</v>
      </c>
      <c r="C73" t="s">
        <v>231</v>
      </c>
      <c r="D73" s="1">
        <v>0.43</v>
      </c>
      <c r="E73">
        <v>-6</v>
      </c>
      <c r="F73" t="s">
        <v>230</v>
      </c>
    </row>
    <row r="74" spans="1:6" x14ac:dyDescent="0.35">
      <c r="A74" t="s">
        <v>73</v>
      </c>
      <c r="B74" t="s">
        <v>229</v>
      </c>
      <c r="C74" t="s">
        <v>187</v>
      </c>
      <c r="D74" s="1">
        <v>0.43</v>
      </c>
      <c r="E74">
        <v>-5</v>
      </c>
      <c r="F74" t="s">
        <v>215</v>
      </c>
    </row>
    <row r="75" spans="1:6" x14ac:dyDescent="0.35">
      <c r="A75" t="s">
        <v>74</v>
      </c>
      <c r="B75" t="s">
        <v>228</v>
      </c>
      <c r="C75" t="s">
        <v>227</v>
      </c>
      <c r="D75" s="1">
        <v>0.47</v>
      </c>
      <c r="E75">
        <v>-6</v>
      </c>
      <c r="F75" t="s">
        <v>226</v>
      </c>
    </row>
    <row r="76" spans="1:6" x14ac:dyDescent="0.35">
      <c r="A76" t="s">
        <v>75</v>
      </c>
      <c r="B76" t="s">
        <v>225</v>
      </c>
      <c r="C76" t="s">
        <v>224</v>
      </c>
      <c r="D76" s="1">
        <v>0.47</v>
      </c>
      <c r="E76">
        <v>-7</v>
      </c>
      <c r="F76" t="s">
        <v>223</v>
      </c>
    </row>
    <row r="77" spans="1:6" x14ac:dyDescent="0.35">
      <c r="A77" t="s">
        <v>76</v>
      </c>
      <c r="B77" t="s">
        <v>222</v>
      </c>
      <c r="C77" t="s">
        <v>221</v>
      </c>
      <c r="D77" s="1">
        <v>0.47</v>
      </c>
    </row>
    <row r="78" spans="1:6" x14ac:dyDescent="0.35">
      <c r="A78" t="s">
        <v>77</v>
      </c>
      <c r="B78" t="s">
        <v>220</v>
      </c>
      <c r="C78" t="s">
        <v>186</v>
      </c>
      <c r="D78" s="1">
        <v>0.43</v>
      </c>
    </row>
    <row r="79" spans="1:6" x14ac:dyDescent="0.35">
      <c r="A79" t="s">
        <v>78</v>
      </c>
      <c r="B79" t="s">
        <v>219</v>
      </c>
      <c r="C79" t="s">
        <v>156</v>
      </c>
      <c r="D79" s="1">
        <v>0.04</v>
      </c>
    </row>
    <row r="80" spans="1:6" x14ac:dyDescent="0.35">
      <c r="A80" t="s">
        <v>79</v>
      </c>
      <c r="B80" t="s">
        <v>218</v>
      </c>
      <c r="C80" t="s">
        <v>153</v>
      </c>
      <c r="D80" s="1">
        <v>0.49</v>
      </c>
    </row>
    <row r="81" spans="1:6" x14ac:dyDescent="0.35">
      <c r="A81" t="s">
        <v>80</v>
      </c>
      <c r="B81" t="s">
        <v>217</v>
      </c>
      <c r="C81" t="s">
        <v>216</v>
      </c>
      <c r="D81" s="1">
        <v>0.46</v>
      </c>
      <c r="E81">
        <v>-1</v>
      </c>
      <c r="F81" t="s">
        <v>215</v>
      </c>
    </row>
    <row r="82" spans="1:6" x14ac:dyDescent="0.35">
      <c r="A82" t="s">
        <v>81</v>
      </c>
      <c r="B82" t="s">
        <v>214</v>
      </c>
      <c r="C82" t="s">
        <v>213</v>
      </c>
      <c r="D82" s="1">
        <v>0.49</v>
      </c>
      <c r="E82">
        <v>-1</v>
      </c>
      <c r="F82" t="s">
        <v>170</v>
      </c>
    </row>
    <row r="83" spans="1:6" x14ac:dyDescent="0.35">
      <c r="A83" t="s">
        <v>82</v>
      </c>
      <c r="B83" t="s">
        <v>212</v>
      </c>
      <c r="C83" t="s">
        <v>211</v>
      </c>
      <c r="D83" s="1">
        <v>0.36</v>
      </c>
    </row>
    <row r="84" spans="1:6" x14ac:dyDescent="0.35">
      <c r="A84" t="s">
        <v>83</v>
      </c>
      <c r="B84" t="s">
        <v>210</v>
      </c>
      <c r="C84" t="s">
        <v>158</v>
      </c>
      <c r="D84" s="1">
        <v>0.02</v>
      </c>
    </row>
    <row r="85" spans="1:6" x14ac:dyDescent="0.35">
      <c r="A85" t="s">
        <v>84</v>
      </c>
      <c r="B85" t="s">
        <v>209</v>
      </c>
      <c r="C85" t="s">
        <v>208</v>
      </c>
      <c r="D85" s="1">
        <v>0.49</v>
      </c>
      <c r="E85">
        <v>-1</v>
      </c>
      <c r="F85" t="s">
        <v>207</v>
      </c>
    </row>
    <row r="86" spans="1:6" x14ac:dyDescent="0.35">
      <c r="A86" t="s">
        <v>45</v>
      </c>
      <c r="B86" t="s">
        <v>206</v>
      </c>
      <c r="C86" t="s">
        <v>205</v>
      </c>
      <c r="D86" s="1">
        <v>0.42</v>
      </c>
    </row>
    <row r="87" spans="1:6" x14ac:dyDescent="0.35">
      <c r="A87" t="s">
        <v>51</v>
      </c>
      <c r="B87" t="s">
        <v>204</v>
      </c>
      <c r="C87" t="s">
        <v>203</v>
      </c>
      <c r="D87" s="1">
        <v>0.49</v>
      </c>
    </row>
    <row r="88" spans="1:6" x14ac:dyDescent="0.35">
      <c r="A88" t="s">
        <v>85</v>
      </c>
      <c r="B88" t="s">
        <v>202</v>
      </c>
      <c r="C88" t="s">
        <v>158</v>
      </c>
      <c r="D88" s="1">
        <v>0.14000000000000001</v>
      </c>
    </row>
    <row r="89" spans="1:6" x14ac:dyDescent="0.35">
      <c r="A89" t="s">
        <v>86</v>
      </c>
      <c r="B89" t="s">
        <v>201</v>
      </c>
      <c r="C89" t="s">
        <v>200</v>
      </c>
      <c r="D89" s="1">
        <v>0.49</v>
      </c>
    </row>
    <row r="90" spans="1:6" x14ac:dyDescent="0.35">
      <c r="A90" t="s">
        <v>87</v>
      </c>
      <c r="B90" t="s">
        <v>199</v>
      </c>
      <c r="C90" t="s">
        <v>152</v>
      </c>
      <c r="D90" s="1">
        <v>0.11</v>
      </c>
    </row>
    <row r="91" spans="1:6" x14ac:dyDescent="0.35">
      <c r="A91" t="s">
        <v>59</v>
      </c>
      <c r="B91" t="s">
        <v>198</v>
      </c>
      <c r="C91" t="s">
        <v>197</v>
      </c>
      <c r="D91" s="1">
        <v>0.49</v>
      </c>
    </row>
    <row r="92" spans="1:6" x14ac:dyDescent="0.35">
      <c r="A92" t="s">
        <v>88</v>
      </c>
      <c r="B92" t="s">
        <v>196</v>
      </c>
      <c r="C92" t="s">
        <v>158</v>
      </c>
      <c r="D92" s="1">
        <v>0.14000000000000001</v>
      </c>
    </row>
    <row r="93" spans="1:6" x14ac:dyDescent="0.35">
      <c r="A93" t="s">
        <v>89</v>
      </c>
      <c r="B93" t="s">
        <v>195</v>
      </c>
      <c r="C93" t="s">
        <v>194</v>
      </c>
      <c r="D93" s="1">
        <v>0.43</v>
      </c>
    </row>
    <row r="94" spans="1:6" x14ac:dyDescent="0.35">
      <c r="A94" t="s">
        <v>90</v>
      </c>
      <c r="B94" t="s">
        <v>193</v>
      </c>
      <c r="C94" t="s">
        <v>192</v>
      </c>
      <c r="D94" s="1">
        <v>0.5</v>
      </c>
    </row>
    <row r="95" spans="1:6" x14ac:dyDescent="0.35">
      <c r="A95" t="s">
        <v>91</v>
      </c>
      <c r="B95" t="s">
        <v>191</v>
      </c>
      <c r="C95" t="s">
        <v>190</v>
      </c>
      <c r="D95" s="1">
        <v>0.48</v>
      </c>
    </row>
    <row r="96" spans="1:6" x14ac:dyDescent="0.35">
      <c r="A96" t="s">
        <v>92</v>
      </c>
      <c r="B96" t="s">
        <v>189</v>
      </c>
      <c r="C96" t="s">
        <v>188</v>
      </c>
      <c r="D96" s="1">
        <v>0.48</v>
      </c>
    </row>
    <row r="97" spans="1:6" x14ac:dyDescent="0.35">
      <c r="A97" t="s">
        <v>93</v>
      </c>
      <c r="B97" t="s">
        <v>187</v>
      </c>
      <c r="C97" t="s">
        <v>158</v>
      </c>
      <c r="D97" s="1">
        <v>0.47</v>
      </c>
    </row>
    <row r="98" spans="1:6" x14ac:dyDescent="0.35">
      <c r="A98" t="s">
        <v>93</v>
      </c>
      <c r="B98" t="s">
        <v>187</v>
      </c>
      <c r="C98" t="s">
        <v>158</v>
      </c>
      <c r="D98" s="1">
        <v>0.47</v>
      </c>
    </row>
    <row r="99" spans="1:6" x14ac:dyDescent="0.35">
      <c r="A99" t="s">
        <v>94</v>
      </c>
      <c r="B99" t="s">
        <v>186</v>
      </c>
      <c r="C99" t="s">
        <v>185</v>
      </c>
      <c r="D99" s="1">
        <v>0.5</v>
      </c>
    </row>
    <row r="100" spans="1:6" x14ac:dyDescent="0.35">
      <c r="A100" t="s">
        <v>95</v>
      </c>
      <c r="B100" t="s">
        <v>184</v>
      </c>
      <c r="C100" t="s">
        <v>183</v>
      </c>
      <c r="D100" s="1">
        <v>0.08</v>
      </c>
    </row>
    <row r="101" spans="1:6" x14ac:dyDescent="0.35">
      <c r="A101" t="s">
        <v>96</v>
      </c>
      <c r="B101" t="s">
        <v>182</v>
      </c>
      <c r="C101" t="s">
        <v>181</v>
      </c>
      <c r="D101" s="1">
        <v>0.02</v>
      </c>
    </row>
    <row r="102" spans="1:6" x14ac:dyDescent="0.35">
      <c r="A102" t="s">
        <v>97</v>
      </c>
      <c r="B102" t="s">
        <v>180</v>
      </c>
      <c r="C102" t="s">
        <v>179</v>
      </c>
      <c r="D102" s="1">
        <v>0.49</v>
      </c>
    </row>
    <row r="103" spans="1:6" x14ac:dyDescent="0.35">
      <c r="A103" t="s">
        <v>98</v>
      </c>
      <c r="B103" t="s">
        <v>178</v>
      </c>
      <c r="C103" t="s">
        <v>177</v>
      </c>
      <c r="D103" s="1">
        <v>0.04</v>
      </c>
    </row>
    <row r="104" spans="1:6" x14ac:dyDescent="0.35">
      <c r="A104" t="s">
        <v>99</v>
      </c>
      <c r="B104" t="s">
        <v>176</v>
      </c>
      <c r="C104" t="s">
        <v>175</v>
      </c>
      <c r="D104" s="1">
        <v>0.49</v>
      </c>
    </row>
    <row r="105" spans="1:6" x14ac:dyDescent="0.35">
      <c r="A105" t="s">
        <v>100</v>
      </c>
      <c r="B105" t="s">
        <v>174</v>
      </c>
      <c r="C105" t="s">
        <v>173</v>
      </c>
      <c r="D105" s="1">
        <v>0.42</v>
      </c>
    </row>
    <row r="106" spans="1:6" x14ac:dyDescent="0.35">
      <c r="A106" t="s">
        <v>101</v>
      </c>
      <c r="B106" t="s">
        <v>172</v>
      </c>
      <c r="C106" t="s">
        <v>171</v>
      </c>
      <c r="D106" s="1">
        <v>0.21</v>
      </c>
      <c r="E106">
        <v>-1</v>
      </c>
      <c r="F106" t="s">
        <v>170</v>
      </c>
    </row>
    <row r="107" spans="1:6" x14ac:dyDescent="0.35">
      <c r="A107" t="s">
        <v>102</v>
      </c>
      <c r="B107" t="s">
        <v>169</v>
      </c>
      <c r="C107" t="s">
        <v>168</v>
      </c>
      <c r="D107" s="1">
        <v>0.41</v>
      </c>
    </row>
    <row r="108" spans="1:6" x14ac:dyDescent="0.35">
      <c r="A108" t="s">
        <v>103</v>
      </c>
      <c r="B108" t="s">
        <v>167</v>
      </c>
      <c r="C108" t="s">
        <v>166</v>
      </c>
      <c r="D108" s="1">
        <v>0.01</v>
      </c>
    </row>
    <row r="109" spans="1:6" x14ac:dyDescent="0.35">
      <c r="A109" t="s">
        <v>104</v>
      </c>
      <c r="B109" t="s">
        <v>165</v>
      </c>
      <c r="C109" t="s">
        <v>164</v>
      </c>
      <c r="D109" s="1">
        <v>0.24</v>
      </c>
    </row>
    <row r="110" spans="1:6" x14ac:dyDescent="0.35">
      <c r="A110" t="s">
        <v>105</v>
      </c>
      <c r="B110" t="s">
        <v>163</v>
      </c>
      <c r="C110" t="s">
        <v>162</v>
      </c>
      <c r="D110" s="1">
        <v>0.34</v>
      </c>
    </row>
    <row r="111" spans="1:6" x14ac:dyDescent="0.35">
      <c r="A111" t="s">
        <v>106</v>
      </c>
      <c r="B111" t="s">
        <v>161</v>
      </c>
      <c r="C111" t="s">
        <v>160</v>
      </c>
      <c r="D111" s="1">
        <v>0.34</v>
      </c>
    </row>
    <row r="112" spans="1:6" x14ac:dyDescent="0.35">
      <c r="A112" t="s">
        <v>107</v>
      </c>
      <c r="B112" t="s">
        <v>159</v>
      </c>
      <c r="C112" t="s">
        <v>158</v>
      </c>
      <c r="D112" s="1">
        <v>0.02</v>
      </c>
    </row>
    <row r="113" spans="1:6" x14ac:dyDescent="0.35">
      <c r="A113" t="s">
        <v>108</v>
      </c>
      <c r="B113" t="s">
        <v>157</v>
      </c>
      <c r="C113" t="s">
        <v>156</v>
      </c>
      <c r="D113" s="1">
        <v>0.02</v>
      </c>
    </row>
    <row r="114" spans="1:6" x14ac:dyDescent="0.35">
      <c r="A114" t="s">
        <v>109</v>
      </c>
      <c r="B114" t="s">
        <v>155</v>
      </c>
      <c r="C114" t="s">
        <v>154</v>
      </c>
      <c r="D114" s="1">
        <v>0.64</v>
      </c>
    </row>
    <row r="115" spans="1:6" x14ac:dyDescent="0.35">
      <c r="A115" t="s">
        <v>110</v>
      </c>
      <c r="B115" t="s">
        <v>153</v>
      </c>
      <c r="C115" t="s">
        <v>152</v>
      </c>
      <c r="D115" s="1">
        <v>0.5</v>
      </c>
      <c r="E115">
        <v>-1</v>
      </c>
      <c r="F115" t="s">
        <v>151</v>
      </c>
    </row>
    <row r="116" spans="1:6" x14ac:dyDescent="0.35">
      <c r="A116" t="s">
        <v>111</v>
      </c>
      <c r="B116" t="s">
        <v>150</v>
      </c>
      <c r="C116" t="s">
        <v>149</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C466-DA56-4535-861C-F7429D13A71C}">
  <dimension ref="A1:O113"/>
  <sheetViews>
    <sheetView workbookViewId="0">
      <pane ySplit="1" topLeftCell="A5" activePane="bottomLeft" state="frozen"/>
      <selection pane="bottomLeft" activeCell="K16" sqref="K16"/>
    </sheetView>
  </sheetViews>
  <sheetFormatPr defaultRowHeight="14.5" x14ac:dyDescent="0.35"/>
  <cols>
    <col min="1" max="1" width="55.08984375" customWidth="1"/>
    <col min="2" max="4" width="18.1796875" style="4" customWidth="1"/>
    <col min="5" max="5" width="8.7265625" style="8"/>
    <col min="6" max="6" width="18.1796875" style="4" customWidth="1"/>
    <col min="7" max="7" width="8.7265625" style="6"/>
    <col min="8" max="8" width="9.6328125" style="6" bestFit="1" customWidth="1"/>
    <col min="9" max="9" width="14" bestFit="1" customWidth="1"/>
    <col min="10" max="10" width="14" customWidth="1"/>
    <col min="11" max="11" width="38.36328125" bestFit="1" customWidth="1"/>
    <col min="12" max="12" width="21.6328125" customWidth="1"/>
    <col min="13" max="13" width="16" customWidth="1"/>
    <col min="14" max="14" width="12.7265625" bestFit="1" customWidth="1"/>
  </cols>
  <sheetData>
    <row r="1" spans="1:15" s="2" customFormat="1" x14ac:dyDescent="0.35">
      <c r="A1" s="2" t="s">
        <v>0</v>
      </c>
      <c r="B1" s="3" t="s">
        <v>114</v>
      </c>
      <c r="C1" s="3" t="s">
        <v>115</v>
      </c>
      <c r="D1" s="3" t="s">
        <v>116</v>
      </c>
      <c r="E1" s="7" t="s">
        <v>1</v>
      </c>
      <c r="F1" s="3" t="s">
        <v>118</v>
      </c>
      <c r="G1" s="5" t="s">
        <v>2</v>
      </c>
      <c r="H1" s="5" t="s">
        <v>112</v>
      </c>
      <c r="I1" s="2" t="s">
        <v>117</v>
      </c>
    </row>
    <row r="2" spans="1:15" x14ac:dyDescent="0.35">
      <c r="A2" t="s">
        <v>3</v>
      </c>
      <c r="B2" s="4">
        <v>950</v>
      </c>
      <c r="C2" s="10">
        <v>1525</v>
      </c>
      <c r="D2" s="4">
        <f>C2-B2</f>
        <v>575</v>
      </c>
      <c r="E2" s="8">
        <v>0.38</v>
      </c>
      <c r="F2" s="4" t="s">
        <v>124</v>
      </c>
      <c r="G2" s="6">
        <v>2</v>
      </c>
      <c r="H2" s="6">
        <v>4.5</v>
      </c>
      <c r="I2" t="str">
        <f>IF(H2&lt;3,"Poor",IF(H2&lt;4.4,"Average",IF(H2="null","Not Rated","Excellent")))</f>
        <v>Excellent</v>
      </c>
    </row>
    <row r="3" spans="1:15" x14ac:dyDescent="0.35">
      <c r="A3" t="s">
        <v>4</v>
      </c>
      <c r="B3" s="4">
        <v>527</v>
      </c>
      <c r="C3" s="4">
        <v>999</v>
      </c>
      <c r="D3" s="4">
        <f t="shared" ref="D3:D66" si="0">C3-B3</f>
        <v>472</v>
      </c>
      <c r="E3" s="8">
        <v>0.47</v>
      </c>
      <c r="F3" s="4" t="s">
        <v>125</v>
      </c>
      <c r="G3" s="6">
        <v>14</v>
      </c>
      <c r="H3" s="6">
        <v>4.0999999999999996</v>
      </c>
      <c r="I3" t="str">
        <f t="shared" ref="I3:I66" si="1">IF(H3&lt;3,"Poor",IF(H3&lt;4.4,"Average",IF(H3="null","Not Rated","Excellent")))</f>
        <v>Average</v>
      </c>
      <c r="L3" s="3" t="s">
        <v>114</v>
      </c>
      <c r="M3" s="3" t="s">
        <v>115</v>
      </c>
      <c r="N3" s="7" t="s">
        <v>1</v>
      </c>
      <c r="O3" s="5" t="s">
        <v>112</v>
      </c>
    </row>
    <row r="4" spans="1:15" x14ac:dyDescent="0.35">
      <c r="A4" t="s">
        <v>5</v>
      </c>
      <c r="B4" s="4">
        <v>2199</v>
      </c>
      <c r="C4" s="4">
        <v>2923</v>
      </c>
      <c r="D4" s="4">
        <f t="shared" si="0"/>
        <v>724</v>
      </c>
      <c r="E4" s="8">
        <v>0.25</v>
      </c>
      <c r="F4" s="4" t="s">
        <v>124</v>
      </c>
      <c r="G4" s="6">
        <v>24</v>
      </c>
      <c r="H4" s="6">
        <v>4.5999999999999996</v>
      </c>
      <c r="I4" t="str">
        <f t="shared" si="1"/>
        <v>Excellent</v>
      </c>
      <c r="K4" s="2" t="s">
        <v>119</v>
      </c>
      <c r="L4" s="4">
        <f>AVERAGE(B2:B113)</f>
        <v>1186.8928571428571</v>
      </c>
      <c r="M4" s="4">
        <f>AVERAGE(C2:C113)</f>
        <v>1811.1071428571429</v>
      </c>
      <c r="N4" s="1">
        <f>AVERAGE(E2:E113)</f>
        <v>0.36776785714285715</v>
      </c>
      <c r="O4" s="9">
        <f>AVERAGE(H2:H113)</f>
        <v>3.8894736842105258</v>
      </c>
    </row>
    <row r="5" spans="1:15" x14ac:dyDescent="0.35">
      <c r="A5" t="s">
        <v>6</v>
      </c>
      <c r="B5" s="4">
        <v>1580</v>
      </c>
      <c r="C5" s="4">
        <v>2499</v>
      </c>
      <c r="D5" s="4">
        <f t="shared" si="0"/>
        <v>919</v>
      </c>
      <c r="E5" s="8">
        <v>0.37</v>
      </c>
      <c r="F5" s="4" t="s">
        <v>124</v>
      </c>
      <c r="G5" s="6">
        <v>7</v>
      </c>
      <c r="H5" s="6">
        <v>4.7</v>
      </c>
      <c r="I5" t="str">
        <f t="shared" si="1"/>
        <v>Excellent</v>
      </c>
    </row>
    <row r="6" spans="1:15" x14ac:dyDescent="0.35">
      <c r="A6" t="s">
        <v>7</v>
      </c>
      <c r="B6" s="4">
        <v>1740</v>
      </c>
      <c r="C6" s="4">
        <v>2356</v>
      </c>
      <c r="D6" s="4">
        <f t="shared" si="0"/>
        <v>616</v>
      </c>
      <c r="E6" s="8">
        <v>0.26</v>
      </c>
      <c r="F6" s="4" t="s">
        <v>124</v>
      </c>
      <c r="G6" s="6">
        <v>5</v>
      </c>
      <c r="H6" s="6">
        <v>4.8</v>
      </c>
      <c r="I6" t="str">
        <f t="shared" si="1"/>
        <v>Excellent</v>
      </c>
      <c r="K6" s="2" t="s">
        <v>121</v>
      </c>
      <c r="L6" t="str">
        <f>_xlfn.XLOOKUP(MAX(B2:B113),B2:B113,A2:A113, "Not Found")</f>
        <v>32PCS Portable Cordless Drill Set With Cyclic Battery Drive -26 Variable Speed</v>
      </c>
    </row>
    <row r="7" spans="1:15" x14ac:dyDescent="0.35">
      <c r="A7" t="s">
        <v>8</v>
      </c>
      <c r="B7" s="4">
        <v>2999</v>
      </c>
      <c r="C7" s="4">
        <v>3290</v>
      </c>
      <c r="D7" s="4">
        <f t="shared" si="0"/>
        <v>291</v>
      </c>
      <c r="E7" s="8">
        <v>0.09</v>
      </c>
      <c r="F7" s="4" t="s">
        <v>126</v>
      </c>
      <c r="G7" s="6">
        <v>15</v>
      </c>
      <c r="H7" s="6">
        <v>4</v>
      </c>
      <c r="I7" t="str">
        <f t="shared" si="1"/>
        <v>Average</v>
      </c>
      <c r="K7" s="2" t="s">
        <v>122</v>
      </c>
      <c r="L7" t="str">
        <f>_xlfn.XLOOKUP(MIN(B2:B113),B2:B113,A2:A113, "Not Found")</f>
        <v>3PCS Single Head Knitting Crochet Sweater Needle Set</v>
      </c>
    </row>
    <row r="8" spans="1:15" x14ac:dyDescent="0.35">
      <c r="A8" t="s">
        <v>9</v>
      </c>
      <c r="B8" s="4">
        <v>2319</v>
      </c>
      <c r="C8" s="4">
        <v>3032</v>
      </c>
      <c r="D8" s="4">
        <f t="shared" si="0"/>
        <v>713</v>
      </c>
      <c r="E8" s="8">
        <v>0.24</v>
      </c>
      <c r="F8" s="4" t="s">
        <v>124</v>
      </c>
      <c r="G8" s="6">
        <v>55</v>
      </c>
      <c r="H8" s="6">
        <v>4.5999999999999996</v>
      </c>
      <c r="I8" t="str">
        <f t="shared" si="1"/>
        <v>Excellent</v>
      </c>
    </row>
    <row r="9" spans="1:15" x14ac:dyDescent="0.35">
      <c r="A9" t="s">
        <v>10</v>
      </c>
      <c r="B9" s="4">
        <v>988</v>
      </c>
      <c r="C9" s="4">
        <v>1580</v>
      </c>
      <c r="D9" s="4">
        <f t="shared" si="0"/>
        <v>592</v>
      </c>
      <c r="E9" s="8">
        <v>0.37</v>
      </c>
      <c r="F9" s="4" t="s">
        <v>124</v>
      </c>
      <c r="G9" s="6">
        <v>2</v>
      </c>
      <c r="H9" s="6">
        <v>4</v>
      </c>
      <c r="I9" t="str">
        <f t="shared" si="1"/>
        <v>Average</v>
      </c>
      <c r="J9" s="2"/>
      <c r="K9" s="2" t="s">
        <v>367</v>
      </c>
      <c r="L9" s="2" t="s">
        <v>123</v>
      </c>
      <c r="M9" s="2" t="s">
        <v>128</v>
      </c>
      <c r="N9" s="2" t="s">
        <v>127</v>
      </c>
    </row>
    <row r="10" spans="1:15" x14ac:dyDescent="0.35">
      <c r="A10" t="s">
        <v>11</v>
      </c>
      <c r="B10" s="4">
        <v>1274</v>
      </c>
      <c r="C10" s="4">
        <v>2800</v>
      </c>
      <c r="D10" s="4">
        <f t="shared" si="0"/>
        <v>1526</v>
      </c>
      <c r="E10" s="8">
        <v>0.55000000000000004</v>
      </c>
      <c r="F10" s="4" t="s">
        <v>125</v>
      </c>
      <c r="G10" s="6">
        <v>5</v>
      </c>
      <c r="H10" s="6">
        <v>4.8</v>
      </c>
      <c r="I10" t="str">
        <f t="shared" si="1"/>
        <v>Excellent</v>
      </c>
      <c r="L10" s="2" t="s">
        <v>126</v>
      </c>
      <c r="M10" s="8">
        <f>AVERAGEIF(F2:F113,"Low Discount",E2:E113)</f>
        <v>7.2222222222222243E-2</v>
      </c>
      <c r="N10" s="10">
        <f>AVERAGEIF(F2:F113,"Low Discount",H2:H113)</f>
        <v>3.7249999999999996</v>
      </c>
    </row>
    <row r="11" spans="1:15" x14ac:dyDescent="0.35">
      <c r="A11" t="s">
        <v>12</v>
      </c>
      <c r="B11" s="4">
        <v>1600</v>
      </c>
      <c r="C11" s="4">
        <v>2929</v>
      </c>
      <c r="D11" s="4">
        <f t="shared" si="0"/>
        <v>1329</v>
      </c>
      <c r="E11" s="8">
        <v>0.45</v>
      </c>
      <c r="F11" s="4" t="s">
        <v>125</v>
      </c>
      <c r="G11" s="6">
        <v>5</v>
      </c>
      <c r="H11" s="6">
        <v>3.8</v>
      </c>
      <c r="I11" t="str">
        <f t="shared" si="1"/>
        <v>Average</v>
      </c>
      <c r="J11" s="2"/>
      <c r="L11" s="2" t="s">
        <v>124</v>
      </c>
      <c r="M11" s="8">
        <f>AVERAGEIF(F2:F113,"Medium Discount",E2:E113)</f>
        <v>0.30709677419354831</v>
      </c>
      <c r="N11" s="10">
        <f>AVERAGEIF(F2:F113,"Medium Discount",H2:H113)</f>
        <v>4.245454545454546</v>
      </c>
    </row>
    <row r="12" spans="1:15" x14ac:dyDescent="0.35">
      <c r="A12" t="s">
        <v>13</v>
      </c>
      <c r="B12" s="4">
        <v>799</v>
      </c>
      <c r="C12" s="4">
        <v>999</v>
      </c>
      <c r="D12" s="4">
        <f t="shared" si="0"/>
        <v>200</v>
      </c>
      <c r="E12" s="8">
        <v>0.2</v>
      </c>
      <c r="F12" s="4" t="s">
        <v>124</v>
      </c>
      <c r="G12" s="6">
        <v>12</v>
      </c>
      <c r="H12" s="6">
        <v>4.0999999999999996</v>
      </c>
      <c r="I12" t="str">
        <f t="shared" si="1"/>
        <v>Average</v>
      </c>
      <c r="L12" s="2" t="s">
        <v>125</v>
      </c>
      <c r="M12" s="8">
        <f>AVERAGEIF(F2:F113,"High Discount",E2:E113)</f>
        <v>0.48206349206349181</v>
      </c>
      <c r="N12" s="10">
        <f>AVERAGEIF(F2:F113,"High Discount",H2:H113)</f>
        <v>3.6580645161290311</v>
      </c>
    </row>
    <row r="13" spans="1:15" x14ac:dyDescent="0.35">
      <c r="A13" t="s">
        <v>14</v>
      </c>
      <c r="B13" s="4">
        <v>990</v>
      </c>
      <c r="C13" s="4">
        <v>1500</v>
      </c>
      <c r="D13" s="4">
        <f t="shared" si="0"/>
        <v>510</v>
      </c>
      <c r="E13" s="8">
        <v>0.34</v>
      </c>
      <c r="F13" s="4" t="s">
        <v>124</v>
      </c>
      <c r="G13" s="6">
        <v>39</v>
      </c>
      <c r="H13" s="6">
        <v>4.7</v>
      </c>
      <c r="I13" t="str">
        <f t="shared" si="1"/>
        <v>Excellent</v>
      </c>
      <c r="J13" s="2"/>
    </row>
    <row r="14" spans="1:15" x14ac:dyDescent="0.35">
      <c r="A14" t="s">
        <v>15</v>
      </c>
      <c r="B14" s="4">
        <v>552</v>
      </c>
      <c r="C14" s="4">
        <v>1035</v>
      </c>
      <c r="D14" s="4">
        <f t="shared" si="0"/>
        <v>483</v>
      </c>
      <c r="E14" s="8">
        <v>0.47</v>
      </c>
      <c r="F14" s="4" t="s">
        <v>125</v>
      </c>
      <c r="G14" s="6">
        <v>12</v>
      </c>
      <c r="H14" s="6">
        <v>4.8</v>
      </c>
      <c r="I14" t="str">
        <f t="shared" si="1"/>
        <v>Excellent</v>
      </c>
      <c r="K14" s="2" t="s">
        <v>129</v>
      </c>
      <c r="L14" s="2" t="s">
        <v>117</v>
      </c>
      <c r="M14" s="2" t="s">
        <v>130</v>
      </c>
    </row>
    <row r="15" spans="1:15" x14ac:dyDescent="0.35">
      <c r="A15" t="s">
        <v>16</v>
      </c>
      <c r="B15" s="4">
        <v>501</v>
      </c>
      <c r="C15" s="4">
        <v>860</v>
      </c>
      <c r="D15" s="4">
        <f t="shared" si="0"/>
        <v>359</v>
      </c>
      <c r="E15" s="8">
        <v>0.42</v>
      </c>
      <c r="F15" s="4" t="s">
        <v>125</v>
      </c>
      <c r="G15" s="6">
        <v>6</v>
      </c>
      <c r="H15" s="6">
        <v>4.5</v>
      </c>
      <c r="I15" t="str">
        <f t="shared" si="1"/>
        <v>Excellent</v>
      </c>
      <c r="L15" s="2" t="s">
        <v>131</v>
      </c>
      <c r="M15">
        <f>COUNTIF(I2:I113, "Poor")</f>
        <v>12</v>
      </c>
    </row>
    <row r="16" spans="1:15" x14ac:dyDescent="0.35">
      <c r="A16" t="s">
        <v>17</v>
      </c>
      <c r="B16" s="4">
        <v>1680</v>
      </c>
      <c r="C16" s="4">
        <v>2499</v>
      </c>
      <c r="D16" s="4">
        <f t="shared" si="0"/>
        <v>819</v>
      </c>
      <c r="E16" s="8">
        <v>0.33</v>
      </c>
      <c r="F16" s="4" t="s">
        <v>124</v>
      </c>
      <c r="G16" s="6">
        <v>9</v>
      </c>
      <c r="H16" s="6">
        <v>4.2</v>
      </c>
      <c r="I16" t="str">
        <f t="shared" si="1"/>
        <v>Average</v>
      </c>
      <c r="J16" s="2"/>
      <c r="L16" s="2" t="s">
        <v>119</v>
      </c>
      <c r="M16">
        <f>COUNTIF(I2:I113,"Average")</f>
        <v>21</v>
      </c>
    </row>
    <row r="17" spans="1:13" x14ac:dyDescent="0.35">
      <c r="A17" t="s">
        <v>18</v>
      </c>
      <c r="B17" s="4">
        <v>332</v>
      </c>
      <c r="C17" s="4">
        <v>684</v>
      </c>
      <c r="D17" s="4">
        <f t="shared" si="0"/>
        <v>352</v>
      </c>
      <c r="E17" s="8">
        <v>0.51</v>
      </c>
      <c r="F17" s="4" t="s">
        <v>125</v>
      </c>
      <c r="G17" s="6">
        <v>2</v>
      </c>
      <c r="H17" s="6">
        <v>5</v>
      </c>
      <c r="I17" t="str">
        <f t="shared" si="1"/>
        <v>Excellent</v>
      </c>
      <c r="J17" s="8"/>
      <c r="L17" s="2" t="s">
        <v>120</v>
      </c>
      <c r="M17">
        <f>COUNTIF(I2:I113,"Excellent")</f>
        <v>24</v>
      </c>
    </row>
    <row r="18" spans="1:13" x14ac:dyDescent="0.35">
      <c r="A18" t="s">
        <v>19</v>
      </c>
      <c r="B18" s="4">
        <v>195</v>
      </c>
      <c r="C18" s="4">
        <v>360</v>
      </c>
      <c r="D18" s="4">
        <f t="shared" si="0"/>
        <v>165</v>
      </c>
      <c r="E18" s="8">
        <v>0.46</v>
      </c>
      <c r="F18" s="4" t="s">
        <v>125</v>
      </c>
      <c r="G18" s="6">
        <v>2</v>
      </c>
      <c r="H18" s="6">
        <v>5</v>
      </c>
      <c r="I18" t="str">
        <f t="shared" si="1"/>
        <v>Excellent</v>
      </c>
      <c r="J18" s="2"/>
    </row>
    <row r="19" spans="1:13" x14ac:dyDescent="0.35">
      <c r="A19" t="s">
        <v>20</v>
      </c>
      <c r="B19" s="4">
        <v>2025</v>
      </c>
      <c r="C19" s="4">
        <v>3971</v>
      </c>
      <c r="D19" s="4">
        <f t="shared" si="0"/>
        <v>1946</v>
      </c>
      <c r="E19" s="8">
        <v>0.49</v>
      </c>
      <c r="F19" s="4" t="s">
        <v>125</v>
      </c>
      <c r="G19" s="6">
        <v>3</v>
      </c>
      <c r="H19" s="6">
        <v>5</v>
      </c>
      <c r="I19" t="str">
        <f t="shared" si="1"/>
        <v>Excellent</v>
      </c>
      <c r="J19" s="8"/>
      <c r="K19" s="13" t="s">
        <v>135</v>
      </c>
    </row>
    <row r="20" spans="1:13" ht="15.5" x14ac:dyDescent="0.35">
      <c r="A20" t="s">
        <v>21</v>
      </c>
      <c r="B20" s="4">
        <v>2999</v>
      </c>
      <c r="C20" s="4">
        <v>3699</v>
      </c>
      <c r="D20" s="4">
        <f t="shared" si="0"/>
        <v>700</v>
      </c>
      <c r="E20" s="8">
        <v>0.19</v>
      </c>
      <c r="F20" s="4" t="s">
        <v>126</v>
      </c>
      <c r="G20" s="6">
        <v>5</v>
      </c>
      <c r="H20" s="6">
        <v>4.5999999999999996</v>
      </c>
      <c r="I20" t="str">
        <f t="shared" si="1"/>
        <v>Excellent</v>
      </c>
      <c r="J20" s="2"/>
      <c r="K20" s="14" t="s">
        <v>136</v>
      </c>
    </row>
    <row r="21" spans="1:13" x14ac:dyDescent="0.35">
      <c r="A21" t="s">
        <v>22</v>
      </c>
      <c r="B21" s="4">
        <v>998</v>
      </c>
      <c r="C21" s="4">
        <v>1966</v>
      </c>
      <c r="D21" s="4">
        <f t="shared" si="0"/>
        <v>968</v>
      </c>
      <c r="E21" s="8">
        <v>0.49</v>
      </c>
      <c r="F21" s="4" t="s">
        <v>125</v>
      </c>
      <c r="G21" s="6">
        <v>44</v>
      </c>
      <c r="H21" s="6">
        <v>4.5999999999999996</v>
      </c>
      <c r="I21" t="str">
        <f t="shared" si="1"/>
        <v>Excellent</v>
      </c>
      <c r="J21" s="8"/>
    </row>
    <row r="22" spans="1:13" x14ac:dyDescent="0.35">
      <c r="A22" t="s">
        <v>23</v>
      </c>
      <c r="B22" s="4">
        <v>38</v>
      </c>
      <c r="C22" s="4">
        <v>80</v>
      </c>
      <c r="D22" s="4">
        <f t="shared" si="0"/>
        <v>42</v>
      </c>
      <c r="E22" s="8">
        <v>0.53</v>
      </c>
      <c r="F22" s="4" t="s">
        <v>125</v>
      </c>
      <c r="G22" s="6">
        <v>13</v>
      </c>
      <c r="H22" s="6">
        <v>3.3</v>
      </c>
      <c r="I22" t="str">
        <f t="shared" si="1"/>
        <v>Average</v>
      </c>
    </row>
    <row r="23" spans="1:13" x14ac:dyDescent="0.35">
      <c r="A23" t="s">
        <v>24</v>
      </c>
      <c r="B23" s="4">
        <v>1860</v>
      </c>
      <c r="C23" s="4">
        <v>3220</v>
      </c>
      <c r="D23" s="4">
        <f t="shared" si="0"/>
        <v>1360</v>
      </c>
      <c r="E23" s="8">
        <v>0.42</v>
      </c>
      <c r="F23" s="4" t="s">
        <v>125</v>
      </c>
      <c r="G23" s="6" t="s">
        <v>113</v>
      </c>
      <c r="H23" s="6" t="s">
        <v>113</v>
      </c>
      <c r="I23" t="str">
        <f t="shared" si="1"/>
        <v>Not Rated</v>
      </c>
    </row>
    <row r="24" spans="1:13" x14ac:dyDescent="0.35">
      <c r="A24" t="s">
        <v>25</v>
      </c>
      <c r="B24" s="4">
        <v>880</v>
      </c>
      <c r="C24" s="4">
        <v>1350</v>
      </c>
      <c r="D24" s="4">
        <f t="shared" si="0"/>
        <v>470</v>
      </c>
      <c r="E24" s="8">
        <v>0.35</v>
      </c>
      <c r="F24" s="4" t="s">
        <v>124</v>
      </c>
      <c r="G24" s="6">
        <v>6</v>
      </c>
      <c r="H24" s="6">
        <v>4</v>
      </c>
      <c r="I24" t="str">
        <f t="shared" si="1"/>
        <v>Average</v>
      </c>
    </row>
    <row r="25" spans="1:13" x14ac:dyDescent="0.35">
      <c r="A25" t="s">
        <v>26</v>
      </c>
      <c r="B25" s="4">
        <v>1650</v>
      </c>
      <c r="C25" s="4">
        <v>2150</v>
      </c>
      <c r="D25" s="4">
        <f t="shared" si="0"/>
        <v>500</v>
      </c>
      <c r="E25" s="8">
        <v>0.23</v>
      </c>
      <c r="F25" s="4" t="s">
        <v>124</v>
      </c>
      <c r="G25" s="6">
        <v>14</v>
      </c>
      <c r="H25" s="6">
        <v>4.4000000000000004</v>
      </c>
      <c r="I25" t="str">
        <f t="shared" si="1"/>
        <v>Excellent</v>
      </c>
    </row>
    <row r="26" spans="1:13" x14ac:dyDescent="0.35">
      <c r="A26" t="s">
        <v>27</v>
      </c>
      <c r="B26" s="4">
        <v>2048</v>
      </c>
      <c r="C26" s="4">
        <v>4500</v>
      </c>
      <c r="D26" s="4">
        <f t="shared" si="0"/>
        <v>2452</v>
      </c>
      <c r="E26" s="8">
        <v>0.54</v>
      </c>
      <c r="F26" s="4" t="s">
        <v>125</v>
      </c>
      <c r="G26" s="6">
        <v>7</v>
      </c>
      <c r="H26" s="6">
        <v>4.3</v>
      </c>
      <c r="I26" t="str">
        <f t="shared" si="1"/>
        <v>Average</v>
      </c>
    </row>
    <row r="27" spans="1:13" x14ac:dyDescent="0.35">
      <c r="A27" t="s">
        <v>28</v>
      </c>
      <c r="B27" s="4">
        <v>420</v>
      </c>
      <c r="C27" s="4">
        <v>647</v>
      </c>
      <c r="D27" s="4">
        <f t="shared" si="0"/>
        <v>227</v>
      </c>
      <c r="E27" s="8">
        <v>0.35</v>
      </c>
      <c r="F27" s="4" t="s">
        <v>124</v>
      </c>
      <c r="G27" s="6">
        <v>49</v>
      </c>
      <c r="H27" s="6">
        <v>4.5999999999999996</v>
      </c>
      <c r="I27" t="str">
        <f t="shared" si="1"/>
        <v>Excellent</v>
      </c>
    </row>
    <row r="28" spans="1:13" x14ac:dyDescent="0.35">
      <c r="A28" t="s">
        <v>29</v>
      </c>
      <c r="B28" s="4">
        <v>2880</v>
      </c>
      <c r="C28" s="4">
        <v>3520</v>
      </c>
      <c r="D28" s="4">
        <f t="shared" si="0"/>
        <v>640</v>
      </c>
      <c r="E28" s="8">
        <v>0.18</v>
      </c>
      <c r="F28" s="4" t="s">
        <v>126</v>
      </c>
      <c r="G28" s="6">
        <v>12</v>
      </c>
      <c r="H28" s="6">
        <v>3.8</v>
      </c>
      <c r="I28" t="str">
        <f t="shared" si="1"/>
        <v>Average</v>
      </c>
    </row>
    <row r="29" spans="1:13" x14ac:dyDescent="0.35">
      <c r="A29" t="s">
        <v>30</v>
      </c>
      <c r="B29" s="4">
        <v>1350</v>
      </c>
      <c r="C29" s="4">
        <v>1990</v>
      </c>
      <c r="D29" s="4">
        <f t="shared" si="0"/>
        <v>640</v>
      </c>
      <c r="E29" s="8">
        <v>0.32</v>
      </c>
      <c r="F29" s="4" t="s">
        <v>124</v>
      </c>
      <c r="G29" s="6">
        <v>13</v>
      </c>
      <c r="H29" s="6">
        <v>3.8</v>
      </c>
      <c r="I29" t="str">
        <f t="shared" si="1"/>
        <v>Average</v>
      </c>
    </row>
    <row r="30" spans="1:13" x14ac:dyDescent="0.35">
      <c r="A30" t="s">
        <v>31</v>
      </c>
      <c r="B30" s="4">
        <v>1758</v>
      </c>
      <c r="C30" s="4">
        <v>2499</v>
      </c>
      <c r="D30" s="4">
        <f t="shared" si="0"/>
        <v>741</v>
      </c>
      <c r="E30" s="8">
        <v>0.3</v>
      </c>
      <c r="F30" s="4" t="s">
        <v>124</v>
      </c>
      <c r="G30" s="6">
        <v>20</v>
      </c>
      <c r="H30" s="6">
        <v>4.0999999999999996</v>
      </c>
      <c r="I30" t="str">
        <f t="shared" si="1"/>
        <v>Average</v>
      </c>
    </row>
    <row r="31" spans="1:13" x14ac:dyDescent="0.35">
      <c r="A31" t="s">
        <v>32</v>
      </c>
      <c r="B31" s="4">
        <v>2200</v>
      </c>
      <c r="C31" s="4">
        <v>4080</v>
      </c>
      <c r="D31" s="4">
        <f t="shared" si="0"/>
        <v>1880</v>
      </c>
      <c r="E31" s="8">
        <v>0.46</v>
      </c>
      <c r="F31" s="4" t="s">
        <v>125</v>
      </c>
      <c r="G31" s="6" t="s">
        <v>113</v>
      </c>
      <c r="H31" s="6" t="s">
        <v>113</v>
      </c>
      <c r="I31" t="str">
        <f t="shared" si="1"/>
        <v>Not Rated</v>
      </c>
    </row>
    <row r="32" spans="1:13" x14ac:dyDescent="0.35">
      <c r="A32" t="s">
        <v>33</v>
      </c>
      <c r="B32" s="4">
        <v>185</v>
      </c>
      <c r="C32" s="4">
        <v>382</v>
      </c>
      <c r="D32" s="4">
        <f t="shared" si="0"/>
        <v>197</v>
      </c>
      <c r="E32" s="8">
        <v>0.52</v>
      </c>
      <c r="F32" s="4" t="s">
        <v>125</v>
      </c>
      <c r="G32" s="6">
        <v>9</v>
      </c>
      <c r="H32" s="6">
        <v>4.3</v>
      </c>
      <c r="I32" t="str">
        <f t="shared" si="1"/>
        <v>Average</v>
      </c>
    </row>
    <row r="33" spans="1:9" x14ac:dyDescent="0.35">
      <c r="A33" t="s">
        <v>34</v>
      </c>
      <c r="B33" s="4">
        <v>980</v>
      </c>
      <c r="C33" s="4">
        <v>1490</v>
      </c>
      <c r="D33" s="4">
        <f t="shared" si="0"/>
        <v>510</v>
      </c>
      <c r="E33" s="8">
        <v>0.34</v>
      </c>
      <c r="F33" s="4" t="s">
        <v>124</v>
      </c>
      <c r="G33" s="6">
        <v>12</v>
      </c>
      <c r="H33" s="6">
        <v>4.7</v>
      </c>
      <c r="I33" t="str">
        <f t="shared" si="1"/>
        <v>Excellent</v>
      </c>
    </row>
    <row r="34" spans="1:9" x14ac:dyDescent="0.35">
      <c r="A34" t="s">
        <v>35</v>
      </c>
      <c r="B34" s="4">
        <v>1820</v>
      </c>
      <c r="C34" s="4">
        <v>3490</v>
      </c>
      <c r="D34" s="4">
        <f t="shared" si="0"/>
        <v>1670</v>
      </c>
      <c r="E34" s="8">
        <v>0.48</v>
      </c>
      <c r="F34" s="4" t="s">
        <v>125</v>
      </c>
      <c r="G34" s="6">
        <v>9</v>
      </c>
      <c r="H34" s="6">
        <v>4.3</v>
      </c>
      <c r="I34" t="str">
        <f t="shared" si="1"/>
        <v>Average</v>
      </c>
    </row>
    <row r="35" spans="1:9" x14ac:dyDescent="0.35">
      <c r="A35" t="s">
        <v>36</v>
      </c>
      <c r="B35" s="4">
        <v>1940</v>
      </c>
      <c r="C35" s="4">
        <v>2650</v>
      </c>
      <c r="D35" s="4">
        <f t="shared" si="0"/>
        <v>710</v>
      </c>
      <c r="E35" s="8">
        <v>0.27</v>
      </c>
      <c r="F35" s="4" t="s">
        <v>124</v>
      </c>
      <c r="G35" s="6">
        <v>20</v>
      </c>
      <c r="H35" s="6">
        <v>4.7</v>
      </c>
      <c r="I35" t="str">
        <f t="shared" si="1"/>
        <v>Excellent</v>
      </c>
    </row>
    <row r="36" spans="1:9" x14ac:dyDescent="0.35">
      <c r="A36" t="s">
        <v>37</v>
      </c>
      <c r="B36" s="4">
        <v>1980</v>
      </c>
      <c r="C36" s="4">
        <v>2699</v>
      </c>
      <c r="D36" s="4">
        <f t="shared" si="0"/>
        <v>719</v>
      </c>
      <c r="E36" s="8">
        <v>0.27</v>
      </c>
      <c r="F36" s="4" t="s">
        <v>124</v>
      </c>
      <c r="G36" s="6">
        <v>32</v>
      </c>
      <c r="H36" s="6">
        <v>4.5</v>
      </c>
      <c r="I36" t="str">
        <f t="shared" si="1"/>
        <v>Excellent</v>
      </c>
    </row>
    <row r="37" spans="1:9" x14ac:dyDescent="0.35">
      <c r="A37" t="s">
        <v>38</v>
      </c>
      <c r="B37" s="4">
        <v>1620</v>
      </c>
      <c r="C37" s="4">
        <v>2690</v>
      </c>
      <c r="D37" s="4">
        <f t="shared" si="0"/>
        <v>1070</v>
      </c>
      <c r="E37" s="8">
        <v>0.4</v>
      </c>
      <c r="F37" s="4" t="s">
        <v>125</v>
      </c>
      <c r="G37" s="6">
        <v>1</v>
      </c>
      <c r="H37" s="6">
        <v>5</v>
      </c>
      <c r="I37" t="str">
        <f t="shared" si="1"/>
        <v>Excellent</v>
      </c>
    </row>
    <row r="38" spans="1:9" x14ac:dyDescent="0.35">
      <c r="A38" t="s">
        <v>39</v>
      </c>
      <c r="B38" s="4">
        <v>171</v>
      </c>
      <c r="C38" s="4">
        <v>360</v>
      </c>
      <c r="D38" s="4">
        <f t="shared" si="0"/>
        <v>189</v>
      </c>
      <c r="E38" s="8">
        <v>0.53</v>
      </c>
      <c r="F38" s="4" t="s">
        <v>125</v>
      </c>
      <c r="G38" s="6">
        <v>2</v>
      </c>
      <c r="H38" s="6">
        <v>5</v>
      </c>
      <c r="I38" t="str">
        <f t="shared" si="1"/>
        <v>Excellent</v>
      </c>
    </row>
    <row r="39" spans="1:9" x14ac:dyDescent="0.35">
      <c r="A39" t="s">
        <v>40</v>
      </c>
      <c r="B39" s="4">
        <v>389</v>
      </c>
      <c r="C39" s="4">
        <v>656</v>
      </c>
      <c r="D39" s="4">
        <f t="shared" si="0"/>
        <v>267</v>
      </c>
      <c r="E39" s="8">
        <v>0.41</v>
      </c>
      <c r="F39" s="4" t="s">
        <v>125</v>
      </c>
      <c r="G39" s="6">
        <v>36</v>
      </c>
      <c r="H39" s="6">
        <v>4.3</v>
      </c>
      <c r="I39" t="str">
        <f t="shared" si="1"/>
        <v>Average</v>
      </c>
    </row>
    <row r="40" spans="1:9" x14ac:dyDescent="0.35">
      <c r="A40" t="s">
        <v>41</v>
      </c>
      <c r="B40" s="4">
        <v>1800</v>
      </c>
      <c r="C40" s="4">
        <v>2700</v>
      </c>
      <c r="D40" s="4">
        <f t="shared" si="0"/>
        <v>900</v>
      </c>
      <c r="E40" s="8">
        <v>0.38</v>
      </c>
      <c r="F40" s="4" t="s">
        <v>124</v>
      </c>
      <c r="G40" s="6">
        <v>2</v>
      </c>
      <c r="H40" s="6">
        <v>4.5</v>
      </c>
      <c r="I40" t="str">
        <f t="shared" si="1"/>
        <v>Excellent</v>
      </c>
    </row>
    <row r="41" spans="1:9" x14ac:dyDescent="0.35">
      <c r="A41" t="s">
        <v>42</v>
      </c>
      <c r="B41" s="4">
        <v>2750</v>
      </c>
      <c r="C41" s="4">
        <v>4471</v>
      </c>
      <c r="D41" s="4">
        <f t="shared" si="0"/>
        <v>1721</v>
      </c>
      <c r="E41" s="8">
        <v>0.38</v>
      </c>
      <c r="F41" s="4" t="s">
        <v>124</v>
      </c>
      <c r="G41" s="6" t="s">
        <v>113</v>
      </c>
      <c r="H41" s="6" t="s">
        <v>113</v>
      </c>
      <c r="I41" t="str">
        <f t="shared" si="1"/>
        <v>Not Rated</v>
      </c>
    </row>
    <row r="42" spans="1:9" x14ac:dyDescent="0.35">
      <c r="A42" t="s">
        <v>43</v>
      </c>
      <c r="B42" s="4">
        <v>475</v>
      </c>
      <c r="C42" s="4">
        <v>931</v>
      </c>
      <c r="D42" s="4">
        <f t="shared" si="0"/>
        <v>456</v>
      </c>
      <c r="E42" s="8">
        <v>0.49</v>
      </c>
      <c r="F42" s="4" t="s">
        <v>125</v>
      </c>
      <c r="G42" s="6" t="s">
        <v>113</v>
      </c>
      <c r="H42" s="6" t="s">
        <v>113</v>
      </c>
      <c r="I42" t="str">
        <f t="shared" si="1"/>
        <v>Not Rated</v>
      </c>
    </row>
    <row r="43" spans="1:9" x14ac:dyDescent="0.35">
      <c r="A43" t="s">
        <v>44</v>
      </c>
      <c r="B43" s="4">
        <v>238</v>
      </c>
      <c r="C43" s="4">
        <v>476</v>
      </c>
      <c r="D43" s="4">
        <f t="shared" si="0"/>
        <v>238</v>
      </c>
      <c r="E43" s="8">
        <v>0.5</v>
      </c>
      <c r="F43" s="4" t="s">
        <v>125</v>
      </c>
      <c r="G43" s="6" t="s">
        <v>113</v>
      </c>
      <c r="H43" s="6" t="s">
        <v>113</v>
      </c>
      <c r="I43" t="str">
        <f t="shared" si="1"/>
        <v>Not Rated</v>
      </c>
    </row>
    <row r="44" spans="1:9" x14ac:dyDescent="0.35">
      <c r="A44" t="s">
        <v>45</v>
      </c>
      <c r="B44" s="4">
        <v>610</v>
      </c>
      <c r="C44" s="4">
        <v>1060</v>
      </c>
      <c r="D44" s="4">
        <f t="shared" si="0"/>
        <v>450</v>
      </c>
      <c r="E44" s="8">
        <v>0.42</v>
      </c>
      <c r="F44" s="4" t="s">
        <v>125</v>
      </c>
      <c r="G44" s="6" t="s">
        <v>113</v>
      </c>
      <c r="H44" s="6" t="s">
        <v>113</v>
      </c>
      <c r="I44" t="str">
        <f t="shared" si="1"/>
        <v>Not Rated</v>
      </c>
    </row>
    <row r="45" spans="1:9" x14ac:dyDescent="0.35">
      <c r="A45" t="s">
        <v>46</v>
      </c>
      <c r="B45" s="4">
        <v>2132</v>
      </c>
      <c r="C45" s="4">
        <v>2169</v>
      </c>
      <c r="D45" s="4">
        <f t="shared" si="0"/>
        <v>37</v>
      </c>
      <c r="E45" s="8">
        <v>0.02</v>
      </c>
      <c r="F45" s="4" t="s">
        <v>126</v>
      </c>
      <c r="G45" s="6" t="s">
        <v>113</v>
      </c>
      <c r="H45" s="6" t="s">
        <v>113</v>
      </c>
      <c r="I45" t="str">
        <f t="shared" si="1"/>
        <v>Not Rated</v>
      </c>
    </row>
    <row r="46" spans="1:9" x14ac:dyDescent="0.35">
      <c r="A46" t="s">
        <v>47</v>
      </c>
      <c r="B46" s="4">
        <v>999</v>
      </c>
      <c r="C46" s="4">
        <v>2000</v>
      </c>
      <c r="D46" s="4">
        <f t="shared" si="0"/>
        <v>1001</v>
      </c>
      <c r="E46" s="8">
        <v>0.5</v>
      </c>
      <c r="F46" s="4" t="s">
        <v>125</v>
      </c>
      <c r="G46" s="6" t="s">
        <v>113</v>
      </c>
      <c r="H46" s="6" t="s">
        <v>113</v>
      </c>
      <c r="I46" t="str">
        <f t="shared" si="1"/>
        <v>Not Rated</v>
      </c>
    </row>
    <row r="47" spans="1:9" x14ac:dyDescent="0.35">
      <c r="A47" t="s">
        <v>48</v>
      </c>
      <c r="B47" s="4">
        <v>1190</v>
      </c>
      <c r="C47" s="4">
        <v>1785</v>
      </c>
      <c r="D47" s="4">
        <f t="shared" si="0"/>
        <v>595</v>
      </c>
      <c r="E47" s="8">
        <v>0.33</v>
      </c>
      <c r="F47" s="4" t="s">
        <v>124</v>
      </c>
      <c r="G47" s="6" t="s">
        <v>113</v>
      </c>
      <c r="H47" s="6" t="s">
        <v>113</v>
      </c>
      <c r="I47" t="str">
        <f t="shared" si="1"/>
        <v>Not Rated</v>
      </c>
    </row>
    <row r="48" spans="1:9" x14ac:dyDescent="0.35">
      <c r="A48" t="s">
        <v>49</v>
      </c>
      <c r="B48" s="4">
        <v>671</v>
      </c>
      <c r="C48" s="4">
        <v>1316</v>
      </c>
      <c r="D48" s="4">
        <f t="shared" si="0"/>
        <v>645</v>
      </c>
      <c r="E48" s="8">
        <v>0.49</v>
      </c>
      <c r="F48" s="4" t="s">
        <v>125</v>
      </c>
      <c r="G48" s="6" t="s">
        <v>113</v>
      </c>
      <c r="H48" s="6" t="s">
        <v>113</v>
      </c>
      <c r="I48" t="str">
        <f t="shared" si="1"/>
        <v>Not Rated</v>
      </c>
    </row>
    <row r="49" spans="1:9" x14ac:dyDescent="0.35">
      <c r="A49" t="s">
        <v>50</v>
      </c>
      <c r="B49" s="4">
        <v>1200</v>
      </c>
      <c r="C49" s="4">
        <v>1950</v>
      </c>
      <c r="D49" s="4">
        <f t="shared" si="0"/>
        <v>750</v>
      </c>
      <c r="E49" s="8">
        <v>0.38</v>
      </c>
      <c r="F49" s="4" t="s">
        <v>124</v>
      </c>
      <c r="G49" s="6" t="s">
        <v>113</v>
      </c>
      <c r="H49" s="6" t="s">
        <v>113</v>
      </c>
      <c r="I49" t="str">
        <f t="shared" si="1"/>
        <v>Not Rated</v>
      </c>
    </row>
    <row r="50" spans="1:9" x14ac:dyDescent="0.35">
      <c r="A50" t="s">
        <v>51</v>
      </c>
      <c r="B50" s="4">
        <v>199</v>
      </c>
      <c r="C50" s="4">
        <v>504</v>
      </c>
      <c r="D50" s="4">
        <f t="shared" si="0"/>
        <v>305</v>
      </c>
      <c r="E50" s="8">
        <v>0.61</v>
      </c>
      <c r="F50" s="4" t="s">
        <v>125</v>
      </c>
      <c r="G50" s="6" t="s">
        <v>113</v>
      </c>
      <c r="H50" s="6" t="s">
        <v>113</v>
      </c>
      <c r="I50" t="str">
        <f t="shared" si="1"/>
        <v>Not Rated</v>
      </c>
    </row>
    <row r="51" spans="1:9" x14ac:dyDescent="0.35">
      <c r="A51" t="s">
        <v>52</v>
      </c>
      <c r="B51" s="4">
        <v>299</v>
      </c>
      <c r="C51" s="4">
        <v>600</v>
      </c>
      <c r="D51" s="4">
        <f t="shared" si="0"/>
        <v>301</v>
      </c>
      <c r="E51" s="8">
        <v>0.5</v>
      </c>
      <c r="F51" s="4" t="s">
        <v>125</v>
      </c>
      <c r="G51" s="6" t="s">
        <v>113</v>
      </c>
      <c r="H51" s="6" t="s">
        <v>113</v>
      </c>
      <c r="I51" t="str">
        <f t="shared" si="1"/>
        <v>Not Rated</v>
      </c>
    </row>
    <row r="52" spans="1:9" x14ac:dyDescent="0.35">
      <c r="A52" t="s">
        <v>53</v>
      </c>
      <c r="B52" s="4">
        <v>1660</v>
      </c>
      <c r="C52" s="4">
        <v>1699</v>
      </c>
      <c r="D52" s="4">
        <f t="shared" si="0"/>
        <v>39</v>
      </c>
      <c r="E52" s="8">
        <v>0.02</v>
      </c>
      <c r="F52" s="4" t="s">
        <v>126</v>
      </c>
      <c r="G52" s="6" t="s">
        <v>113</v>
      </c>
      <c r="H52" s="6" t="s">
        <v>113</v>
      </c>
      <c r="I52" t="str">
        <f t="shared" si="1"/>
        <v>Not Rated</v>
      </c>
    </row>
    <row r="53" spans="1:9" x14ac:dyDescent="0.35">
      <c r="A53" t="s">
        <v>54</v>
      </c>
      <c r="B53" s="4">
        <v>299</v>
      </c>
      <c r="C53" s="4">
        <v>384</v>
      </c>
      <c r="D53" s="4">
        <f t="shared" si="0"/>
        <v>85</v>
      </c>
      <c r="E53" s="8">
        <v>0.22</v>
      </c>
      <c r="F53" s="4" t="s">
        <v>124</v>
      </c>
      <c r="G53" s="6" t="s">
        <v>113</v>
      </c>
      <c r="H53" s="6" t="s">
        <v>113</v>
      </c>
      <c r="I53" t="str">
        <f t="shared" si="1"/>
        <v>Not Rated</v>
      </c>
    </row>
    <row r="54" spans="1:9" x14ac:dyDescent="0.35">
      <c r="A54" t="s">
        <v>55</v>
      </c>
      <c r="B54" s="4">
        <v>1459</v>
      </c>
      <c r="C54" s="4">
        <v>1499</v>
      </c>
      <c r="D54" s="4">
        <f t="shared" si="0"/>
        <v>40</v>
      </c>
      <c r="E54" s="8">
        <v>0.03</v>
      </c>
      <c r="F54" s="4" t="s">
        <v>126</v>
      </c>
      <c r="G54" s="6" t="s">
        <v>113</v>
      </c>
      <c r="H54" s="6" t="s">
        <v>113</v>
      </c>
      <c r="I54" t="str">
        <f t="shared" si="1"/>
        <v>Not Rated</v>
      </c>
    </row>
    <row r="55" spans="1:9" x14ac:dyDescent="0.35">
      <c r="A55" t="s">
        <v>56</v>
      </c>
      <c r="B55" s="4">
        <v>799</v>
      </c>
      <c r="C55" s="4">
        <v>1343</v>
      </c>
      <c r="D55" s="4">
        <f t="shared" si="0"/>
        <v>544</v>
      </c>
      <c r="E55" s="8">
        <v>0.41</v>
      </c>
      <c r="F55" s="4" t="s">
        <v>125</v>
      </c>
      <c r="G55" s="6" t="s">
        <v>113</v>
      </c>
      <c r="H55" s="6" t="s">
        <v>113</v>
      </c>
      <c r="I55" t="str">
        <f t="shared" si="1"/>
        <v>Not Rated</v>
      </c>
    </row>
    <row r="56" spans="1:9" x14ac:dyDescent="0.35">
      <c r="A56" t="s">
        <v>57</v>
      </c>
      <c r="B56" s="4">
        <v>499</v>
      </c>
      <c r="C56" s="4">
        <v>900</v>
      </c>
      <c r="D56" s="4">
        <f t="shared" si="0"/>
        <v>401</v>
      </c>
      <c r="E56" s="8">
        <v>0.45</v>
      </c>
      <c r="F56" s="4" t="s">
        <v>125</v>
      </c>
      <c r="G56" s="6" t="s">
        <v>113</v>
      </c>
      <c r="H56" s="6" t="s">
        <v>113</v>
      </c>
      <c r="I56" t="str">
        <f t="shared" si="1"/>
        <v>Not Rated</v>
      </c>
    </row>
    <row r="57" spans="1:9" x14ac:dyDescent="0.35">
      <c r="A57" t="s">
        <v>58</v>
      </c>
      <c r="B57" s="4">
        <v>699</v>
      </c>
      <c r="C57" s="4">
        <v>1343</v>
      </c>
      <c r="D57" s="4">
        <f t="shared" si="0"/>
        <v>644</v>
      </c>
      <c r="E57" s="8">
        <v>0.48</v>
      </c>
      <c r="F57" s="4" t="s">
        <v>125</v>
      </c>
      <c r="G57" s="6" t="s">
        <v>113</v>
      </c>
      <c r="H57" s="6" t="s">
        <v>113</v>
      </c>
      <c r="I57" t="str">
        <f t="shared" si="1"/>
        <v>Not Rated</v>
      </c>
    </row>
    <row r="58" spans="1:9" x14ac:dyDescent="0.35">
      <c r="A58" t="s">
        <v>59</v>
      </c>
      <c r="B58" s="4">
        <v>799</v>
      </c>
      <c r="C58" s="4">
        <v>1567</v>
      </c>
      <c r="D58" s="4">
        <f t="shared" si="0"/>
        <v>768</v>
      </c>
      <c r="E58" s="8">
        <v>0.49</v>
      </c>
      <c r="F58" s="4" t="s">
        <v>125</v>
      </c>
      <c r="G58" s="6" t="s">
        <v>113</v>
      </c>
      <c r="H58" s="6" t="s">
        <v>113</v>
      </c>
      <c r="I58" t="str">
        <f t="shared" si="1"/>
        <v>Not Rated</v>
      </c>
    </row>
    <row r="59" spans="1:9" x14ac:dyDescent="0.35">
      <c r="A59" t="s">
        <v>60</v>
      </c>
      <c r="B59" s="4">
        <v>2799</v>
      </c>
      <c r="C59" s="4">
        <v>3810</v>
      </c>
      <c r="D59" s="4">
        <f t="shared" si="0"/>
        <v>1011</v>
      </c>
      <c r="E59" s="8">
        <v>0.27</v>
      </c>
      <c r="F59" s="4" t="s">
        <v>124</v>
      </c>
      <c r="G59" s="6" t="s">
        <v>113</v>
      </c>
      <c r="H59" s="6" t="s">
        <v>113</v>
      </c>
      <c r="I59" t="str">
        <f t="shared" si="1"/>
        <v>Not Rated</v>
      </c>
    </row>
    <row r="60" spans="1:9" x14ac:dyDescent="0.35">
      <c r="A60" t="s">
        <v>57</v>
      </c>
      <c r="B60" s="4">
        <v>399</v>
      </c>
      <c r="C60" s="4">
        <v>896</v>
      </c>
      <c r="D60" s="4">
        <f t="shared" si="0"/>
        <v>497</v>
      </c>
      <c r="E60" s="8">
        <v>0.55000000000000004</v>
      </c>
      <c r="F60" s="4" t="s">
        <v>125</v>
      </c>
      <c r="G60" s="6" t="s">
        <v>113</v>
      </c>
      <c r="H60" s="6" t="s">
        <v>113</v>
      </c>
      <c r="I60" t="str">
        <f t="shared" si="1"/>
        <v>Not Rated</v>
      </c>
    </row>
    <row r="61" spans="1:9" x14ac:dyDescent="0.35">
      <c r="A61" t="s">
        <v>61</v>
      </c>
      <c r="B61" s="4">
        <v>2170</v>
      </c>
      <c r="C61" s="4">
        <v>2500</v>
      </c>
      <c r="D61" s="4">
        <f t="shared" si="0"/>
        <v>330</v>
      </c>
      <c r="E61" s="8">
        <v>0.13</v>
      </c>
      <c r="F61" s="4" t="s">
        <v>126</v>
      </c>
      <c r="G61" s="6">
        <v>6</v>
      </c>
      <c r="H61" s="6">
        <v>2.5</v>
      </c>
      <c r="I61" t="str">
        <f t="shared" si="1"/>
        <v>Poor</v>
      </c>
    </row>
    <row r="62" spans="1:9" x14ac:dyDescent="0.35">
      <c r="A62" t="s">
        <v>62</v>
      </c>
      <c r="B62" s="4">
        <v>458</v>
      </c>
      <c r="C62" s="4">
        <v>986</v>
      </c>
      <c r="D62" s="4">
        <f t="shared" si="0"/>
        <v>528</v>
      </c>
      <c r="E62" s="8">
        <v>0.54</v>
      </c>
      <c r="F62" s="4" t="s">
        <v>125</v>
      </c>
      <c r="G62" s="6">
        <v>10</v>
      </c>
      <c r="H62" s="6">
        <v>3</v>
      </c>
      <c r="I62" t="str">
        <f t="shared" si="1"/>
        <v>Average</v>
      </c>
    </row>
    <row r="63" spans="1:9" x14ac:dyDescent="0.35">
      <c r="A63" t="s">
        <v>63</v>
      </c>
      <c r="B63" s="4">
        <v>2115</v>
      </c>
      <c r="C63" s="4">
        <v>4700</v>
      </c>
      <c r="D63" s="4">
        <f t="shared" si="0"/>
        <v>2585</v>
      </c>
      <c r="E63" s="8">
        <v>0.55000000000000004</v>
      </c>
      <c r="F63" s="4" t="s">
        <v>125</v>
      </c>
      <c r="G63" s="6">
        <v>13</v>
      </c>
      <c r="H63" s="6">
        <v>2.1</v>
      </c>
      <c r="I63" t="str">
        <f t="shared" si="1"/>
        <v>Poor</v>
      </c>
    </row>
    <row r="64" spans="1:9" x14ac:dyDescent="0.35">
      <c r="A64" t="s">
        <v>64</v>
      </c>
      <c r="B64" s="4">
        <v>445</v>
      </c>
      <c r="C64" s="4">
        <v>873</v>
      </c>
      <c r="D64" s="4">
        <f t="shared" si="0"/>
        <v>428</v>
      </c>
      <c r="E64" s="8">
        <v>0.49</v>
      </c>
      <c r="F64" s="4" t="s">
        <v>125</v>
      </c>
      <c r="G64" s="6">
        <v>69</v>
      </c>
      <c r="H64" s="6">
        <v>2.8</v>
      </c>
      <c r="I64" t="str">
        <f t="shared" si="1"/>
        <v>Poor</v>
      </c>
    </row>
    <row r="65" spans="1:9" x14ac:dyDescent="0.35">
      <c r="A65" t="s">
        <v>65</v>
      </c>
      <c r="B65" s="4">
        <v>325</v>
      </c>
      <c r="C65" s="4">
        <v>680</v>
      </c>
      <c r="D65" s="4">
        <f t="shared" si="0"/>
        <v>355</v>
      </c>
      <c r="E65" s="8">
        <v>0.52</v>
      </c>
      <c r="F65" s="4" t="s">
        <v>125</v>
      </c>
      <c r="G65" s="6">
        <v>15</v>
      </c>
      <c r="H65" s="6">
        <v>2.7</v>
      </c>
      <c r="I65" t="str">
        <f t="shared" si="1"/>
        <v>Poor</v>
      </c>
    </row>
    <row r="66" spans="1:9" x14ac:dyDescent="0.35">
      <c r="A66" t="s">
        <v>66</v>
      </c>
      <c r="B66" s="4">
        <v>1220</v>
      </c>
      <c r="C66" s="4">
        <v>1555</v>
      </c>
      <c r="D66" s="4">
        <f t="shared" si="0"/>
        <v>335</v>
      </c>
      <c r="E66" s="8">
        <v>0.22</v>
      </c>
      <c r="F66" s="4" t="s">
        <v>124</v>
      </c>
      <c r="G66" s="6">
        <v>16</v>
      </c>
      <c r="H66" s="6">
        <v>2.9</v>
      </c>
      <c r="I66" t="str">
        <f t="shared" si="1"/>
        <v>Poor</v>
      </c>
    </row>
    <row r="67" spans="1:9" x14ac:dyDescent="0.35">
      <c r="A67" t="s">
        <v>67</v>
      </c>
      <c r="B67" s="4">
        <v>990</v>
      </c>
      <c r="C67" s="4">
        <v>1814</v>
      </c>
      <c r="D67" s="4">
        <f t="shared" ref="D67:D113" si="2">C67-B67</f>
        <v>824</v>
      </c>
      <c r="E67" s="8">
        <v>0.45</v>
      </c>
      <c r="F67" s="4" t="s">
        <v>125</v>
      </c>
      <c r="G67" s="6">
        <v>6</v>
      </c>
      <c r="H67" s="6">
        <v>2.2000000000000002</v>
      </c>
      <c r="I67" t="str">
        <f t="shared" ref="I67:I113" si="3">IF(H67&lt;3,"Poor",IF(H67&lt;4.4,"Average",IF(H67="null","Not Rated","Excellent")))</f>
        <v>Poor</v>
      </c>
    </row>
    <row r="68" spans="1:9" x14ac:dyDescent="0.35">
      <c r="A68" t="s">
        <v>68</v>
      </c>
      <c r="B68" s="4">
        <v>1000</v>
      </c>
      <c r="C68" s="4">
        <v>2000</v>
      </c>
      <c r="D68" s="4">
        <f t="shared" si="2"/>
        <v>1000</v>
      </c>
      <c r="E68" s="8">
        <v>0.5</v>
      </c>
      <c r="F68" s="4" t="s">
        <v>125</v>
      </c>
      <c r="G68" s="6">
        <v>7</v>
      </c>
      <c r="H68" s="6">
        <v>2.2999999999999998</v>
      </c>
      <c r="I68" t="str">
        <f t="shared" si="3"/>
        <v>Poor</v>
      </c>
    </row>
    <row r="69" spans="1:9" x14ac:dyDescent="0.35">
      <c r="A69" t="s">
        <v>69</v>
      </c>
      <c r="B69" s="4">
        <v>3750</v>
      </c>
      <c r="C69" s="4">
        <v>6143</v>
      </c>
      <c r="D69" s="4">
        <f t="shared" si="2"/>
        <v>2393</v>
      </c>
      <c r="E69" s="8">
        <v>0.39</v>
      </c>
      <c r="F69" s="4" t="s">
        <v>124</v>
      </c>
      <c r="G69" s="6">
        <v>5</v>
      </c>
      <c r="H69" s="6">
        <v>3</v>
      </c>
      <c r="I69" t="str">
        <f t="shared" si="3"/>
        <v>Average</v>
      </c>
    </row>
    <row r="70" spans="1:9" x14ac:dyDescent="0.35">
      <c r="A70" t="s">
        <v>70</v>
      </c>
      <c r="B70" s="4">
        <v>382</v>
      </c>
      <c r="C70" s="4">
        <v>700</v>
      </c>
      <c r="D70" s="4">
        <f t="shared" si="2"/>
        <v>318</v>
      </c>
      <c r="E70" s="8">
        <v>0.45</v>
      </c>
      <c r="F70" s="4" t="s">
        <v>125</v>
      </c>
      <c r="G70" s="6">
        <v>17</v>
      </c>
      <c r="H70" s="6">
        <v>2.6</v>
      </c>
      <c r="I70" t="str">
        <f t="shared" si="3"/>
        <v>Poor</v>
      </c>
    </row>
    <row r="71" spans="1:9" x14ac:dyDescent="0.35">
      <c r="A71" t="s">
        <v>71</v>
      </c>
      <c r="B71" s="4">
        <v>2300</v>
      </c>
      <c r="C71" s="4">
        <v>3240</v>
      </c>
      <c r="D71" s="4">
        <f t="shared" si="2"/>
        <v>940</v>
      </c>
      <c r="E71" s="8">
        <v>0.28999999999999998</v>
      </c>
      <c r="F71" s="4" t="s">
        <v>124</v>
      </c>
      <c r="G71" s="6">
        <v>5</v>
      </c>
      <c r="H71" s="6">
        <v>3</v>
      </c>
      <c r="I71" t="str">
        <f t="shared" si="3"/>
        <v>Average</v>
      </c>
    </row>
    <row r="72" spans="1:9" x14ac:dyDescent="0.35">
      <c r="A72" t="s">
        <v>72</v>
      </c>
      <c r="B72" s="4">
        <v>345</v>
      </c>
      <c r="C72" s="4">
        <v>602</v>
      </c>
      <c r="D72" s="4">
        <f t="shared" si="2"/>
        <v>257</v>
      </c>
      <c r="E72" s="8">
        <v>0.43</v>
      </c>
      <c r="F72" s="4" t="s">
        <v>125</v>
      </c>
      <c r="G72" s="6">
        <v>6</v>
      </c>
      <c r="H72" s="6">
        <v>2.2999999999999998</v>
      </c>
      <c r="I72" t="str">
        <f t="shared" si="3"/>
        <v>Poor</v>
      </c>
    </row>
    <row r="73" spans="1:9" x14ac:dyDescent="0.35">
      <c r="A73" t="s">
        <v>73</v>
      </c>
      <c r="B73" s="4">
        <v>509</v>
      </c>
      <c r="C73" s="4">
        <v>899</v>
      </c>
      <c r="D73" s="4">
        <f t="shared" si="2"/>
        <v>390</v>
      </c>
      <c r="E73" s="8">
        <v>0.43</v>
      </c>
      <c r="F73" s="4" t="s">
        <v>125</v>
      </c>
      <c r="G73" s="6">
        <v>5</v>
      </c>
      <c r="H73" s="6">
        <v>3</v>
      </c>
      <c r="I73" t="str">
        <f t="shared" si="3"/>
        <v>Average</v>
      </c>
    </row>
    <row r="74" spans="1:9" x14ac:dyDescent="0.35">
      <c r="A74" t="s">
        <v>74</v>
      </c>
      <c r="B74" s="4">
        <v>968</v>
      </c>
      <c r="C74" s="4">
        <v>1814</v>
      </c>
      <c r="D74" s="4">
        <f t="shared" si="2"/>
        <v>846</v>
      </c>
      <c r="E74" s="8">
        <v>0.47</v>
      </c>
      <c r="F74" s="4" t="s">
        <v>125</v>
      </c>
      <c r="G74" s="6">
        <v>6</v>
      </c>
      <c r="H74" s="6">
        <v>2.2000000000000002</v>
      </c>
      <c r="I74" t="str">
        <f t="shared" si="3"/>
        <v>Poor</v>
      </c>
    </row>
    <row r="75" spans="1:9" x14ac:dyDescent="0.35">
      <c r="A75" t="s">
        <v>75</v>
      </c>
      <c r="B75" s="4">
        <v>1570</v>
      </c>
      <c r="C75" s="4">
        <v>2988</v>
      </c>
      <c r="D75" s="4">
        <f t="shared" si="2"/>
        <v>1418</v>
      </c>
      <c r="E75" s="8">
        <v>0.47</v>
      </c>
      <c r="F75" s="4" t="s">
        <v>125</v>
      </c>
      <c r="G75" s="6">
        <v>7</v>
      </c>
      <c r="H75" s="6">
        <v>2.1</v>
      </c>
      <c r="I75" t="str">
        <f t="shared" si="3"/>
        <v>Poor</v>
      </c>
    </row>
    <row r="76" spans="1:9" x14ac:dyDescent="0.35">
      <c r="A76" t="s">
        <v>76</v>
      </c>
      <c r="B76" s="4">
        <v>790</v>
      </c>
      <c r="C76" s="4">
        <v>1485</v>
      </c>
      <c r="D76" s="4">
        <f t="shared" si="2"/>
        <v>695</v>
      </c>
      <c r="E76" s="8">
        <v>0.47</v>
      </c>
      <c r="F76" s="4" t="s">
        <v>125</v>
      </c>
      <c r="G76" s="6" t="s">
        <v>113</v>
      </c>
      <c r="H76" s="6" t="s">
        <v>113</v>
      </c>
      <c r="I76" t="str">
        <f t="shared" si="3"/>
        <v>Not Rated</v>
      </c>
    </row>
    <row r="77" spans="1:9" x14ac:dyDescent="0.35">
      <c r="A77" t="s">
        <v>77</v>
      </c>
      <c r="B77" s="4">
        <v>690</v>
      </c>
      <c r="C77" s="4">
        <v>1200</v>
      </c>
      <c r="D77" s="4">
        <f t="shared" si="2"/>
        <v>510</v>
      </c>
      <c r="E77" s="8">
        <v>0.43</v>
      </c>
      <c r="F77" s="4" t="s">
        <v>125</v>
      </c>
      <c r="G77" s="6" t="s">
        <v>113</v>
      </c>
      <c r="H77" s="6" t="s">
        <v>113</v>
      </c>
      <c r="I77" t="str">
        <f t="shared" si="3"/>
        <v>Not Rated</v>
      </c>
    </row>
    <row r="78" spans="1:9" x14ac:dyDescent="0.35">
      <c r="A78" t="s">
        <v>78</v>
      </c>
      <c r="B78" s="4">
        <v>1732</v>
      </c>
      <c r="C78" s="4">
        <v>1799</v>
      </c>
      <c r="D78" s="4">
        <f t="shared" si="2"/>
        <v>67</v>
      </c>
      <c r="E78" s="8">
        <v>0.04</v>
      </c>
      <c r="F78" s="4" t="s">
        <v>126</v>
      </c>
      <c r="G78" s="6" t="s">
        <v>113</v>
      </c>
      <c r="H78" s="6" t="s">
        <v>113</v>
      </c>
      <c r="I78" t="str">
        <f t="shared" si="3"/>
        <v>Not Rated</v>
      </c>
    </row>
    <row r="79" spans="1:9" x14ac:dyDescent="0.35">
      <c r="A79" t="s">
        <v>79</v>
      </c>
      <c r="B79" s="4">
        <v>230</v>
      </c>
      <c r="C79" s="4">
        <v>450</v>
      </c>
      <c r="D79" s="4">
        <f t="shared" si="2"/>
        <v>220</v>
      </c>
      <c r="E79" s="8">
        <v>0.49</v>
      </c>
      <c r="F79" s="4" t="s">
        <v>125</v>
      </c>
      <c r="G79" s="6" t="s">
        <v>113</v>
      </c>
      <c r="H79" s="6" t="s">
        <v>113</v>
      </c>
      <c r="I79" t="str">
        <f t="shared" si="3"/>
        <v>Not Rated</v>
      </c>
    </row>
    <row r="80" spans="1:9" x14ac:dyDescent="0.35">
      <c r="A80" t="s">
        <v>80</v>
      </c>
      <c r="B80" s="4">
        <v>1189</v>
      </c>
      <c r="C80" s="4">
        <v>2199</v>
      </c>
      <c r="D80" s="4">
        <f t="shared" si="2"/>
        <v>1010</v>
      </c>
      <c r="E80" s="8">
        <v>0.46</v>
      </c>
      <c r="F80" s="4" t="s">
        <v>125</v>
      </c>
      <c r="G80" s="6">
        <v>1</v>
      </c>
      <c r="H80" s="6">
        <v>3</v>
      </c>
      <c r="I80" t="str">
        <f t="shared" si="3"/>
        <v>Average</v>
      </c>
    </row>
    <row r="81" spans="1:9" x14ac:dyDescent="0.35">
      <c r="A81" t="s">
        <v>81</v>
      </c>
      <c r="B81" s="4">
        <v>979</v>
      </c>
      <c r="C81" s="4">
        <v>1920</v>
      </c>
      <c r="D81" s="4">
        <f t="shared" si="2"/>
        <v>941</v>
      </c>
      <c r="E81" s="8">
        <v>0.49</v>
      </c>
      <c r="F81" s="4" t="s">
        <v>125</v>
      </c>
      <c r="G81" s="6">
        <v>1</v>
      </c>
      <c r="H81" s="6">
        <v>5</v>
      </c>
      <c r="I81" t="str">
        <f t="shared" si="3"/>
        <v>Excellent</v>
      </c>
    </row>
    <row r="82" spans="1:9" x14ac:dyDescent="0.35">
      <c r="A82" t="s">
        <v>82</v>
      </c>
      <c r="B82" s="4">
        <v>1460</v>
      </c>
      <c r="C82" s="4">
        <v>2290</v>
      </c>
      <c r="D82" s="4">
        <f t="shared" si="2"/>
        <v>830</v>
      </c>
      <c r="E82" s="8">
        <v>0.36</v>
      </c>
      <c r="F82" s="4" t="s">
        <v>124</v>
      </c>
      <c r="G82" s="6" t="s">
        <v>113</v>
      </c>
      <c r="H82" s="6" t="s">
        <v>113</v>
      </c>
      <c r="I82" t="str">
        <f t="shared" si="3"/>
        <v>Not Rated</v>
      </c>
    </row>
    <row r="83" spans="1:9" x14ac:dyDescent="0.35">
      <c r="A83" t="s">
        <v>83</v>
      </c>
      <c r="B83" s="4">
        <v>1666</v>
      </c>
      <c r="C83" s="4">
        <v>1699</v>
      </c>
      <c r="D83" s="4">
        <f t="shared" si="2"/>
        <v>33</v>
      </c>
      <c r="E83" s="8">
        <v>0.02</v>
      </c>
      <c r="F83" s="4" t="s">
        <v>126</v>
      </c>
      <c r="G83" s="6" t="s">
        <v>113</v>
      </c>
      <c r="H83" s="6" t="s">
        <v>113</v>
      </c>
      <c r="I83" t="str">
        <f t="shared" si="3"/>
        <v>Not Rated</v>
      </c>
    </row>
    <row r="84" spans="1:9" x14ac:dyDescent="0.35">
      <c r="A84" t="s">
        <v>84</v>
      </c>
      <c r="B84" s="4">
        <v>330</v>
      </c>
      <c r="C84" s="4">
        <v>647</v>
      </c>
      <c r="D84" s="4">
        <f t="shared" si="2"/>
        <v>317</v>
      </c>
      <c r="E84" s="8">
        <v>0.49</v>
      </c>
      <c r="F84" s="4" t="s">
        <v>125</v>
      </c>
      <c r="G84" s="6">
        <v>1</v>
      </c>
      <c r="H84" s="6">
        <v>4</v>
      </c>
      <c r="I84" t="str">
        <f t="shared" si="3"/>
        <v>Average</v>
      </c>
    </row>
    <row r="85" spans="1:9" x14ac:dyDescent="0.35">
      <c r="A85" t="s">
        <v>51</v>
      </c>
      <c r="B85" s="4">
        <v>176</v>
      </c>
      <c r="C85" s="4">
        <v>345</v>
      </c>
      <c r="D85" s="4">
        <f t="shared" si="2"/>
        <v>169</v>
      </c>
      <c r="E85" s="8">
        <v>0.49</v>
      </c>
      <c r="F85" s="4" t="s">
        <v>125</v>
      </c>
      <c r="G85" s="6" t="s">
        <v>113</v>
      </c>
      <c r="H85" s="6" t="s">
        <v>113</v>
      </c>
      <c r="I85" t="str">
        <f t="shared" si="3"/>
        <v>Not Rated</v>
      </c>
    </row>
    <row r="86" spans="1:9" x14ac:dyDescent="0.35">
      <c r="A86" t="s">
        <v>85</v>
      </c>
      <c r="B86" s="4">
        <v>1466</v>
      </c>
      <c r="C86" s="4">
        <v>1699</v>
      </c>
      <c r="D86" s="4">
        <f t="shared" si="2"/>
        <v>233</v>
      </c>
      <c r="E86" s="8">
        <v>0.14000000000000001</v>
      </c>
      <c r="F86" s="4" t="s">
        <v>126</v>
      </c>
      <c r="G86" s="6" t="s">
        <v>113</v>
      </c>
      <c r="H86" s="6" t="s">
        <v>113</v>
      </c>
      <c r="I86" t="str">
        <f t="shared" si="3"/>
        <v>Not Rated</v>
      </c>
    </row>
    <row r="87" spans="1:9" x14ac:dyDescent="0.35">
      <c r="A87" t="s">
        <v>86</v>
      </c>
      <c r="B87" s="4">
        <v>274</v>
      </c>
      <c r="C87" s="4">
        <v>537</v>
      </c>
      <c r="D87" s="4">
        <f t="shared" si="2"/>
        <v>263</v>
      </c>
      <c r="E87" s="8">
        <v>0.49</v>
      </c>
      <c r="F87" s="4" t="s">
        <v>125</v>
      </c>
      <c r="G87" s="6" t="s">
        <v>113</v>
      </c>
      <c r="H87" s="6" t="s">
        <v>113</v>
      </c>
      <c r="I87" t="str">
        <f t="shared" si="3"/>
        <v>Not Rated</v>
      </c>
    </row>
    <row r="88" spans="1:9" x14ac:dyDescent="0.35">
      <c r="A88" t="s">
        <v>87</v>
      </c>
      <c r="B88" s="4">
        <v>799</v>
      </c>
      <c r="C88" s="4">
        <v>900</v>
      </c>
      <c r="D88" s="4">
        <f t="shared" si="2"/>
        <v>101</v>
      </c>
      <c r="E88" s="8">
        <v>0.11</v>
      </c>
      <c r="F88" s="4" t="s">
        <v>126</v>
      </c>
      <c r="G88" s="6" t="s">
        <v>113</v>
      </c>
      <c r="H88" s="6" t="s">
        <v>113</v>
      </c>
      <c r="I88" t="str">
        <f t="shared" si="3"/>
        <v>Not Rated</v>
      </c>
    </row>
    <row r="89" spans="1:9" x14ac:dyDescent="0.35">
      <c r="A89" t="s">
        <v>59</v>
      </c>
      <c r="B89" s="4">
        <v>657</v>
      </c>
      <c r="C89" s="4">
        <v>1288</v>
      </c>
      <c r="D89" s="4">
        <f t="shared" si="2"/>
        <v>631</v>
      </c>
      <c r="E89" s="8">
        <v>0.49</v>
      </c>
      <c r="F89" s="4" t="s">
        <v>125</v>
      </c>
      <c r="G89" s="6" t="s">
        <v>113</v>
      </c>
      <c r="H89" s="6" t="s">
        <v>113</v>
      </c>
      <c r="I89" t="str">
        <f t="shared" si="3"/>
        <v>Not Rated</v>
      </c>
    </row>
    <row r="90" spans="1:9" x14ac:dyDescent="0.35">
      <c r="A90" t="s">
        <v>88</v>
      </c>
      <c r="B90" s="4">
        <v>1468</v>
      </c>
      <c r="C90" s="4">
        <v>1699</v>
      </c>
      <c r="D90" s="4">
        <f t="shared" si="2"/>
        <v>231</v>
      </c>
      <c r="E90" s="8">
        <v>0.14000000000000001</v>
      </c>
      <c r="F90" s="4" t="s">
        <v>126</v>
      </c>
      <c r="G90" s="6" t="s">
        <v>113</v>
      </c>
      <c r="H90" s="6" t="s">
        <v>113</v>
      </c>
      <c r="I90" t="str">
        <f t="shared" si="3"/>
        <v>Not Rated</v>
      </c>
    </row>
    <row r="91" spans="1:9" x14ac:dyDescent="0.35">
      <c r="A91" t="s">
        <v>89</v>
      </c>
      <c r="B91" s="4">
        <v>630</v>
      </c>
      <c r="C91" s="4">
        <v>1100</v>
      </c>
      <c r="D91" s="4">
        <f t="shared" si="2"/>
        <v>470</v>
      </c>
      <c r="E91" s="8">
        <v>0.43</v>
      </c>
      <c r="F91" s="4" t="s">
        <v>125</v>
      </c>
      <c r="G91" s="6" t="s">
        <v>113</v>
      </c>
      <c r="H91" s="6" t="s">
        <v>113</v>
      </c>
      <c r="I91" t="str">
        <f t="shared" si="3"/>
        <v>Not Rated</v>
      </c>
    </row>
    <row r="92" spans="1:9" x14ac:dyDescent="0.35">
      <c r="A92" t="s">
        <v>90</v>
      </c>
      <c r="B92" s="4">
        <v>850</v>
      </c>
      <c r="C92" s="4">
        <v>1700</v>
      </c>
      <c r="D92" s="4">
        <f t="shared" si="2"/>
        <v>850</v>
      </c>
      <c r="E92" s="8">
        <v>0.5</v>
      </c>
      <c r="F92" s="4" t="s">
        <v>125</v>
      </c>
      <c r="G92" s="6" t="s">
        <v>113</v>
      </c>
      <c r="H92" s="6" t="s">
        <v>113</v>
      </c>
      <c r="I92" t="str">
        <f t="shared" si="3"/>
        <v>Not Rated</v>
      </c>
    </row>
    <row r="93" spans="1:9" x14ac:dyDescent="0.35">
      <c r="A93" t="s">
        <v>91</v>
      </c>
      <c r="B93" s="4">
        <v>1300</v>
      </c>
      <c r="C93" s="4">
        <v>2500</v>
      </c>
      <c r="D93" s="4">
        <f t="shared" si="2"/>
        <v>1200</v>
      </c>
      <c r="E93" s="8">
        <v>0.48</v>
      </c>
      <c r="F93" s="4" t="s">
        <v>125</v>
      </c>
      <c r="G93" s="6" t="s">
        <v>113</v>
      </c>
      <c r="H93" s="6" t="s">
        <v>113</v>
      </c>
      <c r="I93" t="str">
        <f t="shared" si="3"/>
        <v>Not Rated</v>
      </c>
    </row>
    <row r="94" spans="1:9" x14ac:dyDescent="0.35">
      <c r="A94" t="s">
        <v>92</v>
      </c>
      <c r="B94" s="4">
        <v>105</v>
      </c>
      <c r="C94" s="4">
        <v>200</v>
      </c>
      <c r="D94" s="4">
        <f t="shared" si="2"/>
        <v>95</v>
      </c>
      <c r="E94" s="8">
        <v>0.48</v>
      </c>
      <c r="F94" s="4" t="s">
        <v>125</v>
      </c>
      <c r="G94" s="6" t="s">
        <v>113</v>
      </c>
      <c r="H94" s="6" t="s">
        <v>113</v>
      </c>
      <c r="I94" t="str">
        <f t="shared" si="3"/>
        <v>Not Rated</v>
      </c>
    </row>
    <row r="95" spans="1:9" x14ac:dyDescent="0.35">
      <c r="A95" t="s">
        <v>93</v>
      </c>
      <c r="B95" s="4">
        <v>899</v>
      </c>
      <c r="C95" s="4">
        <v>1699</v>
      </c>
      <c r="D95" s="4">
        <f t="shared" si="2"/>
        <v>800</v>
      </c>
      <c r="E95" s="8">
        <v>0.47</v>
      </c>
      <c r="F95" s="4" t="s">
        <v>125</v>
      </c>
      <c r="G95" s="6" t="s">
        <v>113</v>
      </c>
      <c r="H95" s="6" t="s">
        <v>113</v>
      </c>
      <c r="I95" t="str">
        <f t="shared" si="3"/>
        <v>Not Rated</v>
      </c>
    </row>
    <row r="96" spans="1:9" x14ac:dyDescent="0.35">
      <c r="A96" t="s">
        <v>94</v>
      </c>
      <c r="B96" s="4">
        <v>1200</v>
      </c>
      <c r="C96" s="4">
        <v>2400</v>
      </c>
      <c r="D96" s="4">
        <f t="shared" si="2"/>
        <v>1200</v>
      </c>
      <c r="E96" s="8">
        <v>0.5</v>
      </c>
      <c r="F96" s="4" t="s">
        <v>125</v>
      </c>
      <c r="G96" s="6" t="s">
        <v>113</v>
      </c>
      <c r="H96" s="6" t="s">
        <v>113</v>
      </c>
      <c r="I96" t="str">
        <f t="shared" si="3"/>
        <v>Not Rated</v>
      </c>
    </row>
    <row r="97" spans="1:9" x14ac:dyDescent="0.35">
      <c r="A97" t="s">
        <v>95</v>
      </c>
      <c r="B97" s="4">
        <v>1526</v>
      </c>
      <c r="C97" s="4">
        <v>1660</v>
      </c>
      <c r="D97" s="4">
        <f t="shared" si="2"/>
        <v>134</v>
      </c>
      <c r="E97" s="8">
        <v>0.08</v>
      </c>
      <c r="F97" s="4" t="s">
        <v>126</v>
      </c>
      <c r="G97" s="6" t="s">
        <v>113</v>
      </c>
      <c r="H97" s="6" t="s">
        <v>113</v>
      </c>
      <c r="I97" t="str">
        <f t="shared" si="3"/>
        <v>Not Rated</v>
      </c>
    </row>
    <row r="98" spans="1:9" x14ac:dyDescent="0.35">
      <c r="A98" t="s">
        <v>96</v>
      </c>
      <c r="B98" s="4">
        <v>1462</v>
      </c>
      <c r="C98" s="4">
        <v>1499</v>
      </c>
      <c r="D98" s="4">
        <f t="shared" si="2"/>
        <v>37</v>
      </c>
      <c r="E98" s="8">
        <v>0.02</v>
      </c>
      <c r="F98" s="4" t="s">
        <v>126</v>
      </c>
      <c r="G98" s="6" t="s">
        <v>113</v>
      </c>
      <c r="H98" s="6" t="s">
        <v>113</v>
      </c>
      <c r="I98" t="str">
        <f t="shared" si="3"/>
        <v>Not Rated</v>
      </c>
    </row>
    <row r="99" spans="1:9" x14ac:dyDescent="0.35">
      <c r="A99" t="s">
        <v>97</v>
      </c>
      <c r="B99" s="4">
        <v>248</v>
      </c>
      <c r="C99" s="4">
        <v>486</v>
      </c>
      <c r="D99" s="4">
        <f t="shared" si="2"/>
        <v>238</v>
      </c>
      <c r="E99" s="8">
        <v>0.49</v>
      </c>
      <c r="F99" s="4" t="s">
        <v>125</v>
      </c>
      <c r="G99" s="6" t="s">
        <v>113</v>
      </c>
      <c r="H99" s="6" t="s">
        <v>113</v>
      </c>
      <c r="I99" t="str">
        <f t="shared" si="3"/>
        <v>Not Rated</v>
      </c>
    </row>
    <row r="100" spans="1:9" x14ac:dyDescent="0.35">
      <c r="A100" t="s">
        <v>98</v>
      </c>
      <c r="B100" s="4">
        <v>3546</v>
      </c>
      <c r="C100" s="4">
        <v>3699</v>
      </c>
      <c r="D100" s="4">
        <f t="shared" si="2"/>
        <v>153</v>
      </c>
      <c r="E100" s="8">
        <v>0.04</v>
      </c>
      <c r="F100" s="4" t="s">
        <v>126</v>
      </c>
      <c r="G100" s="6" t="s">
        <v>113</v>
      </c>
      <c r="H100" s="6" t="s">
        <v>113</v>
      </c>
      <c r="I100" t="str">
        <f t="shared" si="3"/>
        <v>Not Rated</v>
      </c>
    </row>
    <row r="101" spans="1:9" x14ac:dyDescent="0.35">
      <c r="A101" t="s">
        <v>99</v>
      </c>
      <c r="B101" s="4">
        <v>525</v>
      </c>
      <c r="C101" s="4">
        <v>1029</v>
      </c>
      <c r="D101" s="4">
        <f t="shared" si="2"/>
        <v>504</v>
      </c>
      <c r="E101" s="8">
        <v>0.49</v>
      </c>
      <c r="F101" s="4" t="s">
        <v>125</v>
      </c>
      <c r="G101" s="6" t="s">
        <v>113</v>
      </c>
      <c r="H101" s="6" t="s">
        <v>113</v>
      </c>
      <c r="I101" t="str">
        <f t="shared" si="3"/>
        <v>Not Rated</v>
      </c>
    </row>
    <row r="102" spans="1:9" x14ac:dyDescent="0.35">
      <c r="A102" t="s">
        <v>100</v>
      </c>
      <c r="B102" s="4">
        <v>1080</v>
      </c>
      <c r="C102" s="4">
        <v>1874</v>
      </c>
      <c r="D102" s="4">
        <f t="shared" si="2"/>
        <v>794</v>
      </c>
      <c r="E102" s="8">
        <v>0.42</v>
      </c>
      <c r="F102" s="4" t="s">
        <v>125</v>
      </c>
      <c r="G102" s="6" t="s">
        <v>113</v>
      </c>
      <c r="H102" s="6" t="s">
        <v>113</v>
      </c>
      <c r="I102" t="str">
        <f t="shared" si="3"/>
        <v>Not Rated</v>
      </c>
    </row>
    <row r="103" spans="1:9" x14ac:dyDescent="0.35">
      <c r="A103" t="s">
        <v>101</v>
      </c>
      <c r="B103" s="4">
        <v>3640</v>
      </c>
      <c r="C103" s="4">
        <v>4588</v>
      </c>
      <c r="D103" s="4">
        <f t="shared" si="2"/>
        <v>948</v>
      </c>
      <c r="E103" s="8">
        <v>0.21</v>
      </c>
      <c r="F103" s="4" t="s">
        <v>124</v>
      </c>
      <c r="G103" s="6">
        <v>1</v>
      </c>
      <c r="H103" s="6">
        <v>5</v>
      </c>
      <c r="I103" t="str">
        <f t="shared" si="3"/>
        <v>Excellent</v>
      </c>
    </row>
    <row r="104" spans="1:9" x14ac:dyDescent="0.35">
      <c r="A104" t="s">
        <v>102</v>
      </c>
      <c r="B104" s="4">
        <v>1420</v>
      </c>
      <c r="C104" s="4">
        <v>2420</v>
      </c>
      <c r="D104" s="4">
        <f t="shared" si="2"/>
        <v>1000</v>
      </c>
      <c r="E104" s="8">
        <v>0.41</v>
      </c>
      <c r="F104" s="4" t="s">
        <v>125</v>
      </c>
      <c r="G104" s="6" t="s">
        <v>113</v>
      </c>
      <c r="H104" s="6" t="s">
        <v>113</v>
      </c>
      <c r="I104" t="str">
        <f t="shared" si="3"/>
        <v>Not Rated</v>
      </c>
    </row>
    <row r="105" spans="1:9" x14ac:dyDescent="0.35">
      <c r="A105" t="s">
        <v>103</v>
      </c>
      <c r="B105" s="4">
        <v>1875</v>
      </c>
      <c r="C105" s="4">
        <v>1899</v>
      </c>
      <c r="D105" s="4">
        <f t="shared" si="2"/>
        <v>24</v>
      </c>
      <c r="E105" s="8">
        <v>0.01</v>
      </c>
      <c r="F105" s="4" t="s">
        <v>126</v>
      </c>
      <c r="G105" s="6" t="s">
        <v>113</v>
      </c>
      <c r="H105" s="6" t="s">
        <v>113</v>
      </c>
      <c r="I105" t="str">
        <f t="shared" si="3"/>
        <v>Not Rated</v>
      </c>
    </row>
    <row r="106" spans="1:9" x14ac:dyDescent="0.35">
      <c r="A106" t="s">
        <v>104</v>
      </c>
      <c r="B106" s="4">
        <v>198</v>
      </c>
      <c r="C106" s="4">
        <v>260</v>
      </c>
      <c r="D106" s="4">
        <f t="shared" si="2"/>
        <v>62</v>
      </c>
      <c r="E106" s="8">
        <v>0.24</v>
      </c>
      <c r="F106" s="4" t="s">
        <v>124</v>
      </c>
      <c r="G106" s="6" t="s">
        <v>113</v>
      </c>
      <c r="H106" s="6" t="s">
        <v>113</v>
      </c>
      <c r="I106" t="str">
        <f t="shared" si="3"/>
        <v>Not Rated</v>
      </c>
    </row>
    <row r="107" spans="1:9" x14ac:dyDescent="0.35">
      <c r="A107" t="s">
        <v>105</v>
      </c>
      <c r="B107" s="4">
        <v>1150</v>
      </c>
      <c r="C107" s="4">
        <v>1737</v>
      </c>
      <c r="D107" s="4">
        <f t="shared" si="2"/>
        <v>587</v>
      </c>
      <c r="E107" s="8">
        <v>0.34</v>
      </c>
      <c r="F107" s="4" t="s">
        <v>124</v>
      </c>
      <c r="G107" s="6" t="s">
        <v>113</v>
      </c>
      <c r="H107" s="6" t="s">
        <v>113</v>
      </c>
      <c r="I107" t="str">
        <f t="shared" si="3"/>
        <v>Not Rated</v>
      </c>
    </row>
    <row r="108" spans="1:9" x14ac:dyDescent="0.35">
      <c r="A108" t="s">
        <v>106</v>
      </c>
      <c r="B108" s="4">
        <v>1190</v>
      </c>
      <c r="C108" s="4">
        <v>1810</v>
      </c>
      <c r="D108" s="4">
        <f t="shared" si="2"/>
        <v>620</v>
      </c>
      <c r="E108" s="8">
        <v>0.34</v>
      </c>
      <c r="F108" s="4" t="s">
        <v>124</v>
      </c>
      <c r="G108" s="6" t="s">
        <v>113</v>
      </c>
      <c r="H108" s="6" t="s">
        <v>113</v>
      </c>
      <c r="I108" t="str">
        <f t="shared" si="3"/>
        <v>Not Rated</v>
      </c>
    </row>
    <row r="109" spans="1:9" x14ac:dyDescent="0.35">
      <c r="A109" t="s">
        <v>107</v>
      </c>
      <c r="B109" s="4">
        <v>1658</v>
      </c>
      <c r="C109" s="4">
        <v>1699</v>
      </c>
      <c r="D109" s="4">
        <f t="shared" si="2"/>
        <v>41</v>
      </c>
      <c r="E109" s="8">
        <v>0.02</v>
      </c>
      <c r="F109" s="4" t="s">
        <v>126</v>
      </c>
      <c r="G109" s="6" t="s">
        <v>113</v>
      </c>
      <c r="H109" s="6" t="s">
        <v>113</v>
      </c>
      <c r="I109" t="str">
        <f t="shared" si="3"/>
        <v>Not Rated</v>
      </c>
    </row>
    <row r="110" spans="1:9" x14ac:dyDescent="0.35">
      <c r="A110" t="s">
        <v>108</v>
      </c>
      <c r="B110" s="4">
        <v>1768</v>
      </c>
      <c r="C110" s="4">
        <v>1799</v>
      </c>
      <c r="D110" s="4">
        <f t="shared" si="2"/>
        <v>31</v>
      </c>
      <c r="E110" s="8">
        <v>0.02</v>
      </c>
      <c r="F110" s="4" t="s">
        <v>126</v>
      </c>
      <c r="G110" s="6" t="s">
        <v>113</v>
      </c>
      <c r="H110" s="6" t="s">
        <v>113</v>
      </c>
      <c r="I110" t="str">
        <f t="shared" si="3"/>
        <v>Not Rated</v>
      </c>
    </row>
    <row r="111" spans="1:9" x14ac:dyDescent="0.35">
      <c r="A111" t="s">
        <v>109</v>
      </c>
      <c r="B111" s="4">
        <v>199</v>
      </c>
      <c r="C111" s="4">
        <v>553</v>
      </c>
      <c r="D111" s="4">
        <f t="shared" si="2"/>
        <v>354</v>
      </c>
      <c r="E111" s="8">
        <v>0.64</v>
      </c>
      <c r="F111" s="4" t="s">
        <v>125</v>
      </c>
      <c r="G111" s="6" t="s">
        <v>113</v>
      </c>
      <c r="H111" s="6" t="s">
        <v>113</v>
      </c>
      <c r="I111" t="str">
        <f t="shared" si="3"/>
        <v>Not Rated</v>
      </c>
    </row>
    <row r="112" spans="1:9" x14ac:dyDescent="0.35">
      <c r="A112" t="s">
        <v>110</v>
      </c>
      <c r="B112" s="4">
        <v>450</v>
      </c>
      <c r="C112" s="4">
        <v>900</v>
      </c>
      <c r="D112" s="4">
        <f t="shared" si="2"/>
        <v>450</v>
      </c>
      <c r="E112" s="8">
        <v>0.5</v>
      </c>
      <c r="F112" s="4" t="s">
        <v>125</v>
      </c>
      <c r="G112" s="6">
        <v>1</v>
      </c>
      <c r="H112" s="6">
        <v>2</v>
      </c>
      <c r="I112" t="str">
        <f t="shared" si="3"/>
        <v>Poor</v>
      </c>
    </row>
    <row r="113" spans="1:9" x14ac:dyDescent="0.35">
      <c r="A113" t="s">
        <v>111</v>
      </c>
      <c r="B113" s="4">
        <v>169</v>
      </c>
      <c r="C113" s="4">
        <v>320</v>
      </c>
      <c r="D113" s="4">
        <f t="shared" si="2"/>
        <v>151</v>
      </c>
      <c r="E113" s="8">
        <v>0.47</v>
      </c>
      <c r="F113" s="4" t="s">
        <v>125</v>
      </c>
      <c r="G113" s="6" t="s">
        <v>113</v>
      </c>
      <c r="H113" s="6" t="s">
        <v>113</v>
      </c>
      <c r="I113" t="str">
        <f t="shared" si="3"/>
        <v>Not Rated</v>
      </c>
    </row>
  </sheetData>
  <conditionalFormatting sqref="F1:F1048576">
    <cfRule type="containsText" dxfId="1" priority="2" operator="containsText" text="Low Discount">
      <formula>NOT(ISERROR(SEARCH("Low Discount",F1)))</formula>
    </cfRule>
  </conditionalFormatting>
  <conditionalFormatting sqref="I1:I1048576">
    <cfRule type="containsText" dxfId="0" priority="1" operator="containsText" text="poor">
      <formula>NOT(ISERROR(SEARCH("poor",I1)))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5AA6-7079-4CC3-9172-9C3C12DB36F6}">
  <dimension ref="A6:E113"/>
  <sheetViews>
    <sheetView workbookViewId="0">
      <selection activeCell="D57" sqref="D57"/>
    </sheetView>
  </sheetViews>
  <sheetFormatPr defaultRowHeight="14.5" x14ac:dyDescent="0.35"/>
  <cols>
    <col min="1" max="1" width="18.453125" bestFit="1" customWidth="1"/>
    <col min="2" max="2" width="14.08984375" bestFit="1" customWidth="1"/>
    <col min="3" max="3" width="13" bestFit="1" customWidth="1"/>
    <col min="4" max="4" width="16.08984375" bestFit="1" customWidth="1"/>
    <col min="5" max="5" width="12.54296875" bestFit="1" customWidth="1"/>
    <col min="6" max="6" width="12" bestFit="1" customWidth="1"/>
    <col min="7" max="7" width="15.6328125" bestFit="1" customWidth="1"/>
    <col min="8" max="8" width="13.08984375" bestFit="1" customWidth="1"/>
    <col min="9" max="9" width="12.54296875" bestFit="1" customWidth="1"/>
    <col min="10" max="10" width="12" bestFit="1" customWidth="1"/>
    <col min="11" max="11" width="15.6328125" bestFit="1" customWidth="1"/>
    <col min="12" max="12" width="13.54296875" bestFit="1" customWidth="1"/>
    <col min="13" max="13" width="12.54296875" bestFit="1" customWidth="1"/>
    <col min="14" max="14" width="12" bestFit="1" customWidth="1"/>
    <col min="15" max="15" width="15.6328125" bestFit="1" customWidth="1"/>
    <col min="16" max="16" width="9" bestFit="1" customWidth="1"/>
    <col min="17" max="17" width="10.36328125" bestFit="1" customWidth="1"/>
    <col min="18" max="18" width="66.453125" bestFit="1" customWidth="1"/>
    <col min="19" max="19" width="52.81640625" bestFit="1" customWidth="1"/>
    <col min="20" max="20" width="44.81640625" bestFit="1" customWidth="1"/>
    <col min="21" max="21" width="38" bestFit="1" customWidth="1"/>
    <col min="22" max="22" width="46.7265625" bestFit="1" customWidth="1"/>
    <col min="23" max="23" width="42.1796875" bestFit="1" customWidth="1"/>
    <col min="24" max="24" width="35.1796875" bestFit="1" customWidth="1"/>
    <col min="25" max="25" width="43.6328125" bestFit="1" customWidth="1"/>
    <col min="26" max="26" width="60.36328125" bestFit="1" customWidth="1"/>
    <col min="27" max="27" width="45.453125" bestFit="1" customWidth="1"/>
    <col min="28" max="28" width="50.453125" bestFit="1" customWidth="1"/>
    <col min="29" max="29" width="52.26953125" bestFit="1" customWidth="1"/>
    <col min="30" max="30" width="52.54296875" bestFit="1" customWidth="1"/>
    <col min="31" max="31" width="89.26953125" bestFit="1" customWidth="1"/>
    <col min="32" max="32" width="50.453125" bestFit="1" customWidth="1"/>
    <col min="33" max="33" width="45.26953125" bestFit="1" customWidth="1"/>
    <col min="34" max="34" width="54.1796875" bestFit="1" customWidth="1"/>
    <col min="35" max="35" width="55.54296875" bestFit="1" customWidth="1"/>
    <col min="36" max="36" width="60.6328125" bestFit="1" customWidth="1"/>
    <col min="37" max="37" width="50.453125" bestFit="1" customWidth="1"/>
    <col min="38" max="38" width="27.36328125" bestFit="1" customWidth="1"/>
    <col min="39" max="39" width="58.90625" bestFit="1" customWidth="1"/>
    <col min="40" max="40" width="46.6328125" bestFit="1" customWidth="1"/>
    <col min="41" max="41" width="50.1796875" bestFit="1" customWidth="1"/>
    <col min="42" max="42" width="48" bestFit="1" customWidth="1"/>
    <col min="43" max="43" width="51.453125" bestFit="1" customWidth="1"/>
    <col min="44" max="44" width="52.6328125" bestFit="1" customWidth="1"/>
    <col min="45" max="45" width="45.1796875" bestFit="1" customWidth="1"/>
    <col min="46" max="46" width="62.453125" bestFit="1" customWidth="1"/>
    <col min="47" max="47" width="49.36328125" bestFit="1" customWidth="1"/>
    <col min="48" max="48" width="32.90625" bestFit="1" customWidth="1"/>
    <col min="49" max="49" width="22.7265625" bestFit="1" customWidth="1"/>
    <col min="50" max="50" width="52.54296875" bestFit="1" customWidth="1"/>
    <col min="51" max="51" width="58" bestFit="1" customWidth="1"/>
    <col min="52" max="52" width="53.08984375" bestFit="1" customWidth="1"/>
    <col min="53" max="53" width="54.90625" bestFit="1" customWidth="1"/>
    <col min="54" max="54" width="49" bestFit="1" customWidth="1"/>
    <col min="55" max="55" width="30.54296875" bestFit="1" customWidth="1"/>
    <col min="56" max="56" width="66.08984375" bestFit="1" customWidth="1"/>
    <col min="57" max="57" width="52.08984375" bestFit="1" customWidth="1"/>
    <col min="58" max="58" width="49.453125" bestFit="1" customWidth="1"/>
    <col min="59" max="59" width="64.6328125" bestFit="1" customWidth="1"/>
    <col min="60" max="60" width="66.7265625" bestFit="1" customWidth="1"/>
    <col min="61" max="61" width="35.08984375" bestFit="1" customWidth="1"/>
    <col min="62" max="62" width="35.453125" bestFit="1" customWidth="1"/>
    <col min="63" max="63" width="25.6328125" bestFit="1" customWidth="1"/>
    <col min="64" max="64" width="68.26953125" bestFit="1" customWidth="1"/>
    <col min="65" max="65" width="30.36328125" bestFit="1" customWidth="1"/>
    <col min="66" max="66" width="52.36328125" bestFit="1" customWidth="1"/>
    <col min="67" max="67" width="62.36328125" bestFit="1" customWidth="1"/>
    <col min="68" max="68" width="46.7265625" bestFit="1" customWidth="1"/>
    <col min="69" max="69" width="39.1796875" bestFit="1" customWidth="1"/>
    <col min="70" max="70" width="44.08984375" bestFit="1" customWidth="1"/>
    <col min="71" max="71" width="36.7265625" bestFit="1" customWidth="1"/>
    <col min="72" max="72" width="32.54296875" bestFit="1" customWidth="1"/>
    <col min="73" max="73" width="54.7265625" bestFit="1" customWidth="1"/>
    <col min="74" max="74" width="65.81640625" bestFit="1" customWidth="1"/>
    <col min="75" max="75" width="70.1796875" bestFit="1" customWidth="1"/>
    <col min="76" max="76" width="30.08984375" bestFit="1" customWidth="1"/>
    <col min="77" max="77" width="56.08984375" bestFit="1" customWidth="1"/>
    <col min="78" max="78" width="52.1796875" bestFit="1" customWidth="1"/>
    <col min="79" max="79" width="66.7265625" bestFit="1" customWidth="1"/>
    <col min="80" max="80" width="67.453125" bestFit="1" customWidth="1"/>
    <col min="81" max="81" width="44.90625" bestFit="1" customWidth="1"/>
    <col min="82" max="82" width="42.453125" bestFit="1" customWidth="1"/>
    <col min="83" max="83" width="50.1796875" bestFit="1" customWidth="1"/>
    <col min="84" max="84" width="44" bestFit="1" customWidth="1"/>
    <col min="85" max="85" width="64.54296875" bestFit="1" customWidth="1"/>
    <col min="86" max="86" width="67.90625" bestFit="1" customWidth="1"/>
    <col min="87" max="87" width="67.453125" bestFit="1" customWidth="1"/>
    <col min="88" max="88" width="54.90625" bestFit="1" customWidth="1"/>
    <col min="89" max="89" width="43.26953125" bestFit="1" customWidth="1"/>
    <col min="90" max="90" width="50.90625" bestFit="1" customWidth="1"/>
    <col min="91" max="91" width="50.1796875" bestFit="1" customWidth="1"/>
    <col min="92" max="92" width="48.1796875" bestFit="1" customWidth="1"/>
    <col min="93" max="93" width="42.81640625" bestFit="1" customWidth="1"/>
    <col min="94" max="94" width="57.36328125" bestFit="1" customWidth="1"/>
    <col min="95" max="95" width="62.453125" bestFit="1" customWidth="1"/>
    <col min="96" max="96" width="39.54296875" bestFit="1" customWidth="1"/>
    <col min="97" max="97" width="61.08984375" bestFit="1" customWidth="1"/>
    <col min="98" max="98" width="67.26953125" bestFit="1" customWidth="1"/>
    <col min="99" max="99" width="52.7265625" bestFit="1" customWidth="1"/>
    <col min="100" max="100" width="71" bestFit="1" customWidth="1"/>
    <col min="101" max="101" width="50.7265625" bestFit="1" customWidth="1"/>
    <col min="102" max="102" width="64.453125" bestFit="1" customWidth="1"/>
    <col min="103" max="103" width="72.1796875" bestFit="1" customWidth="1"/>
    <col min="104" max="104" width="28.26953125" bestFit="1" customWidth="1"/>
    <col min="105" max="105" width="72.453125" bestFit="1" customWidth="1"/>
    <col min="106" max="106" width="37.7265625" bestFit="1" customWidth="1"/>
    <col min="107" max="107" width="55" bestFit="1" customWidth="1"/>
    <col min="108" max="108" width="42.08984375" bestFit="1" customWidth="1"/>
    <col min="109" max="109" width="50.26953125" bestFit="1" customWidth="1"/>
    <col min="110" max="110" width="56.7265625" bestFit="1" customWidth="1"/>
    <col min="111" max="111" width="10.36328125" bestFit="1" customWidth="1"/>
  </cols>
  <sheetData>
    <row r="6" spans="1:2" x14ac:dyDescent="0.35">
      <c r="A6" s="11" t="s">
        <v>132</v>
      </c>
      <c r="B6" t="s">
        <v>134</v>
      </c>
    </row>
    <row r="7" spans="1:2" x14ac:dyDescent="0.35">
      <c r="A7" s="12">
        <v>2</v>
      </c>
      <c r="B7">
        <v>1</v>
      </c>
    </row>
    <row r="8" spans="1:2" x14ac:dyDescent="0.35">
      <c r="A8" s="12">
        <v>2.1</v>
      </c>
      <c r="B8">
        <v>20</v>
      </c>
    </row>
    <row r="9" spans="1:2" x14ac:dyDescent="0.35">
      <c r="A9" s="12">
        <v>2.2000000000000002</v>
      </c>
      <c r="B9">
        <v>12</v>
      </c>
    </row>
    <row r="10" spans="1:2" x14ac:dyDescent="0.35">
      <c r="A10" s="12">
        <v>2.2999999999999998</v>
      </c>
      <c r="B10">
        <v>13</v>
      </c>
    </row>
    <row r="11" spans="1:2" x14ac:dyDescent="0.35">
      <c r="A11" s="12">
        <v>2.5</v>
      </c>
      <c r="B11">
        <v>6</v>
      </c>
    </row>
    <row r="12" spans="1:2" x14ac:dyDescent="0.35">
      <c r="A12" s="12">
        <v>2.6</v>
      </c>
      <c r="B12">
        <v>17</v>
      </c>
    </row>
    <row r="13" spans="1:2" x14ac:dyDescent="0.35">
      <c r="A13" s="12">
        <v>2.7</v>
      </c>
      <c r="B13">
        <v>15</v>
      </c>
    </row>
    <row r="14" spans="1:2" x14ac:dyDescent="0.35">
      <c r="A14" s="12">
        <v>2.8</v>
      </c>
      <c r="B14">
        <v>69</v>
      </c>
    </row>
    <row r="15" spans="1:2" x14ac:dyDescent="0.35">
      <c r="A15" s="12">
        <v>2.9</v>
      </c>
      <c r="B15">
        <v>16</v>
      </c>
    </row>
    <row r="16" spans="1:2" x14ac:dyDescent="0.35">
      <c r="A16" s="12">
        <v>3</v>
      </c>
      <c r="B16">
        <v>26</v>
      </c>
    </row>
    <row r="17" spans="1:2" x14ac:dyDescent="0.35">
      <c r="A17" s="12">
        <v>3.3</v>
      </c>
      <c r="B17">
        <v>13</v>
      </c>
    </row>
    <row r="18" spans="1:2" x14ac:dyDescent="0.35">
      <c r="A18" s="12">
        <v>3.8</v>
      </c>
      <c r="B18">
        <v>30</v>
      </c>
    </row>
    <row r="19" spans="1:2" x14ac:dyDescent="0.35">
      <c r="A19" s="12">
        <v>4</v>
      </c>
      <c r="B19">
        <v>24</v>
      </c>
    </row>
    <row r="20" spans="1:2" x14ac:dyDescent="0.35">
      <c r="A20" s="12">
        <v>4.0999999999999996</v>
      </c>
      <c r="B20">
        <v>46</v>
      </c>
    </row>
    <row r="21" spans="1:2" x14ac:dyDescent="0.35">
      <c r="A21" s="12">
        <v>4.2</v>
      </c>
      <c r="B21">
        <v>9</v>
      </c>
    </row>
    <row r="22" spans="1:2" x14ac:dyDescent="0.35">
      <c r="A22" s="12">
        <v>4.3</v>
      </c>
      <c r="B22">
        <v>61</v>
      </c>
    </row>
    <row r="23" spans="1:2" x14ac:dyDescent="0.35">
      <c r="A23" s="12">
        <v>4.4000000000000004</v>
      </c>
      <c r="B23">
        <v>14</v>
      </c>
    </row>
    <row r="24" spans="1:2" x14ac:dyDescent="0.35">
      <c r="A24" s="12">
        <v>4.5</v>
      </c>
      <c r="B24">
        <v>42</v>
      </c>
    </row>
    <row r="25" spans="1:2" x14ac:dyDescent="0.35">
      <c r="A25" s="12">
        <v>4.5999999999999996</v>
      </c>
      <c r="B25">
        <v>177</v>
      </c>
    </row>
    <row r="26" spans="1:2" x14ac:dyDescent="0.35">
      <c r="A26" s="12">
        <v>4.7</v>
      </c>
      <c r="B26">
        <v>78</v>
      </c>
    </row>
    <row r="27" spans="1:2" x14ac:dyDescent="0.35">
      <c r="A27" s="12">
        <v>4.8</v>
      </c>
      <c r="B27">
        <v>22</v>
      </c>
    </row>
    <row r="28" spans="1:2" x14ac:dyDescent="0.35">
      <c r="A28" s="12">
        <v>5</v>
      </c>
      <c r="B28">
        <v>12</v>
      </c>
    </row>
    <row r="29" spans="1:2" x14ac:dyDescent="0.35">
      <c r="A29" s="12" t="s">
        <v>113</v>
      </c>
      <c r="B29">
        <v>0</v>
      </c>
    </row>
    <row r="30" spans="1:2" x14ac:dyDescent="0.35">
      <c r="A30" s="12" t="s">
        <v>133</v>
      </c>
      <c r="B30">
        <v>723</v>
      </c>
    </row>
    <row r="35" spans="1:2" x14ac:dyDescent="0.35">
      <c r="A35" s="11" t="s">
        <v>137</v>
      </c>
      <c r="B35" t="s">
        <v>139</v>
      </c>
    </row>
    <row r="36" spans="1:2" x14ac:dyDescent="0.35">
      <c r="A36" s="12" t="s">
        <v>109</v>
      </c>
      <c r="B36" s="1">
        <v>0.64</v>
      </c>
    </row>
    <row r="37" spans="1:2" x14ac:dyDescent="0.35">
      <c r="A37" s="12" t="s">
        <v>51</v>
      </c>
      <c r="B37" s="1">
        <v>0.61</v>
      </c>
    </row>
    <row r="38" spans="1:2" x14ac:dyDescent="0.35">
      <c r="A38" s="12" t="s">
        <v>63</v>
      </c>
      <c r="B38" s="1">
        <v>0.55000000000000004</v>
      </c>
    </row>
    <row r="39" spans="1:2" x14ac:dyDescent="0.35">
      <c r="A39" s="12" t="s">
        <v>11</v>
      </c>
      <c r="B39" s="1">
        <v>0.55000000000000004</v>
      </c>
    </row>
    <row r="40" spans="1:2" x14ac:dyDescent="0.35">
      <c r="A40" s="12" t="s">
        <v>57</v>
      </c>
      <c r="B40" s="1">
        <v>0.55000000000000004</v>
      </c>
    </row>
    <row r="41" spans="1:2" x14ac:dyDescent="0.35">
      <c r="A41" s="12" t="s">
        <v>62</v>
      </c>
      <c r="B41" s="1">
        <v>0.54</v>
      </c>
    </row>
    <row r="42" spans="1:2" x14ac:dyDescent="0.35">
      <c r="A42" s="12" t="s">
        <v>27</v>
      </c>
      <c r="B42" s="1">
        <v>0.54</v>
      </c>
    </row>
    <row r="43" spans="1:2" x14ac:dyDescent="0.35">
      <c r="A43" s="12" t="s">
        <v>39</v>
      </c>
      <c r="B43" s="1">
        <v>0.53</v>
      </c>
    </row>
    <row r="44" spans="1:2" x14ac:dyDescent="0.35">
      <c r="A44" s="12" t="s">
        <v>23</v>
      </c>
      <c r="B44" s="1">
        <v>0.53</v>
      </c>
    </row>
    <row r="45" spans="1:2" x14ac:dyDescent="0.35">
      <c r="A45" s="12" t="s">
        <v>65</v>
      </c>
      <c r="B45" s="1">
        <v>0.52</v>
      </c>
    </row>
    <row r="46" spans="1:2" x14ac:dyDescent="0.35">
      <c r="A46" s="12" t="s">
        <v>33</v>
      </c>
      <c r="B46" s="1">
        <v>0.52</v>
      </c>
    </row>
    <row r="47" spans="1:2" x14ac:dyDescent="0.35">
      <c r="A47" s="12" t="s">
        <v>133</v>
      </c>
      <c r="B47" s="1">
        <v>0.64</v>
      </c>
    </row>
    <row r="51" spans="1:2" x14ac:dyDescent="0.35">
      <c r="A51" s="11" t="s">
        <v>137</v>
      </c>
      <c r="B51" t="s">
        <v>138</v>
      </c>
    </row>
    <row r="52" spans="1:2" x14ac:dyDescent="0.35">
      <c r="A52" s="12" t="s">
        <v>64</v>
      </c>
      <c r="B52">
        <v>69</v>
      </c>
    </row>
    <row r="53" spans="1:2" x14ac:dyDescent="0.35">
      <c r="A53" s="12" t="s">
        <v>9</v>
      </c>
      <c r="B53">
        <v>55</v>
      </c>
    </row>
    <row r="54" spans="1:2" x14ac:dyDescent="0.35">
      <c r="A54" s="12" t="s">
        <v>28</v>
      </c>
      <c r="B54">
        <v>49</v>
      </c>
    </row>
    <row r="55" spans="1:2" x14ac:dyDescent="0.35">
      <c r="A55" s="12" t="s">
        <v>22</v>
      </c>
      <c r="B55">
        <v>44</v>
      </c>
    </row>
    <row r="56" spans="1:2" x14ac:dyDescent="0.35">
      <c r="A56" s="12" t="s">
        <v>14</v>
      </c>
      <c r="B56">
        <v>39</v>
      </c>
    </row>
    <row r="57" spans="1:2" x14ac:dyDescent="0.35">
      <c r="A57" s="12" t="s">
        <v>40</v>
      </c>
      <c r="B57">
        <v>36</v>
      </c>
    </row>
    <row r="58" spans="1:2" x14ac:dyDescent="0.35">
      <c r="A58" s="12" t="s">
        <v>37</v>
      </c>
      <c r="B58">
        <v>32</v>
      </c>
    </row>
    <row r="59" spans="1:2" x14ac:dyDescent="0.35">
      <c r="A59" s="12" t="s">
        <v>5</v>
      </c>
      <c r="B59">
        <v>24</v>
      </c>
    </row>
    <row r="60" spans="1:2" x14ac:dyDescent="0.35">
      <c r="A60" s="12" t="s">
        <v>36</v>
      </c>
      <c r="B60">
        <v>20</v>
      </c>
    </row>
    <row r="61" spans="1:2" x14ac:dyDescent="0.35">
      <c r="A61" s="12" t="s">
        <v>31</v>
      </c>
      <c r="B61">
        <v>20</v>
      </c>
    </row>
    <row r="62" spans="1:2" x14ac:dyDescent="0.35">
      <c r="A62" s="12" t="s">
        <v>133</v>
      </c>
      <c r="B62">
        <v>388</v>
      </c>
    </row>
    <row r="66" spans="1:2" x14ac:dyDescent="0.35">
      <c r="A66" s="11" t="s">
        <v>141</v>
      </c>
      <c r="B66" t="s">
        <v>142</v>
      </c>
    </row>
    <row r="67" spans="1:2" x14ac:dyDescent="0.35">
      <c r="A67" s="12" t="s">
        <v>18</v>
      </c>
      <c r="B67">
        <v>5</v>
      </c>
    </row>
    <row r="68" spans="1:2" x14ac:dyDescent="0.35">
      <c r="A68" s="12" t="s">
        <v>81</v>
      </c>
      <c r="B68">
        <v>5</v>
      </c>
    </row>
    <row r="69" spans="1:2" x14ac:dyDescent="0.35">
      <c r="A69" s="12" t="s">
        <v>39</v>
      </c>
      <c r="B69">
        <v>5</v>
      </c>
    </row>
    <row r="70" spans="1:2" x14ac:dyDescent="0.35">
      <c r="A70" s="12" t="s">
        <v>38</v>
      </c>
      <c r="B70">
        <v>5</v>
      </c>
    </row>
    <row r="71" spans="1:2" x14ac:dyDescent="0.35">
      <c r="A71" s="12" t="s">
        <v>101</v>
      </c>
      <c r="B71">
        <v>5</v>
      </c>
    </row>
    <row r="72" spans="1:2" x14ac:dyDescent="0.35">
      <c r="A72" s="12" t="s">
        <v>20</v>
      </c>
      <c r="B72">
        <v>5</v>
      </c>
    </row>
    <row r="73" spans="1:2" x14ac:dyDescent="0.35">
      <c r="A73" s="12" t="s">
        <v>19</v>
      </c>
      <c r="B73">
        <v>5</v>
      </c>
    </row>
    <row r="74" spans="1:2" x14ac:dyDescent="0.35">
      <c r="A74" s="12" t="s">
        <v>133</v>
      </c>
      <c r="B74">
        <v>5</v>
      </c>
    </row>
    <row r="77" spans="1:2" x14ac:dyDescent="0.35">
      <c r="A77" s="11" t="s">
        <v>141</v>
      </c>
      <c r="B77" t="s">
        <v>140</v>
      </c>
    </row>
    <row r="78" spans="1:2" x14ac:dyDescent="0.35">
      <c r="A78" s="12" t="s">
        <v>63</v>
      </c>
      <c r="B78">
        <v>2.1</v>
      </c>
    </row>
    <row r="79" spans="1:2" x14ac:dyDescent="0.35">
      <c r="A79" s="12" t="s">
        <v>74</v>
      </c>
      <c r="B79">
        <v>2.2000000000000002</v>
      </c>
    </row>
    <row r="80" spans="1:2" x14ac:dyDescent="0.35">
      <c r="A80" s="12" t="s">
        <v>67</v>
      </c>
      <c r="B80">
        <v>2.2000000000000002</v>
      </c>
    </row>
    <row r="81" spans="1:5" x14ac:dyDescent="0.35">
      <c r="A81" s="12" t="s">
        <v>75</v>
      </c>
      <c r="B81">
        <v>2.1</v>
      </c>
    </row>
    <row r="82" spans="1:5" x14ac:dyDescent="0.35">
      <c r="A82" s="12" t="s">
        <v>110</v>
      </c>
      <c r="B82">
        <v>2</v>
      </c>
    </row>
    <row r="83" spans="1:5" x14ac:dyDescent="0.35">
      <c r="A83" s="12" t="s">
        <v>133</v>
      </c>
      <c r="B83">
        <v>2.2000000000000002</v>
      </c>
    </row>
    <row r="86" spans="1:5" x14ac:dyDescent="0.35">
      <c r="A86" s="11" t="s">
        <v>118</v>
      </c>
      <c r="B86" t="s">
        <v>144</v>
      </c>
      <c r="C86" t="s">
        <v>145</v>
      </c>
    </row>
    <row r="87" spans="1:5" x14ac:dyDescent="0.35">
      <c r="A87" s="12" t="s">
        <v>125</v>
      </c>
      <c r="B87" s="15">
        <v>3.6580645161290311</v>
      </c>
      <c r="C87">
        <v>63</v>
      </c>
    </row>
    <row r="88" spans="1:5" x14ac:dyDescent="0.35">
      <c r="A88" s="12" t="s">
        <v>126</v>
      </c>
      <c r="B88" s="15">
        <v>3.7249999999999996</v>
      </c>
      <c r="C88">
        <v>18</v>
      </c>
    </row>
    <row r="89" spans="1:5" x14ac:dyDescent="0.35">
      <c r="A89" s="12" t="s">
        <v>133</v>
      </c>
      <c r="B89" s="15">
        <v>3.6657142857142846</v>
      </c>
      <c r="C89">
        <v>81</v>
      </c>
    </row>
    <row r="92" spans="1:5" x14ac:dyDescent="0.35">
      <c r="A92" t="s">
        <v>148</v>
      </c>
      <c r="B92" t="s">
        <v>362</v>
      </c>
      <c r="C92" t="s">
        <v>361</v>
      </c>
      <c r="D92" t="s">
        <v>143</v>
      </c>
      <c r="E92" t="s">
        <v>360</v>
      </c>
    </row>
    <row r="93" spans="1:5" x14ac:dyDescent="0.35">
      <c r="A93" s="1">
        <v>0.36776785714285715</v>
      </c>
      <c r="B93">
        <v>112</v>
      </c>
      <c r="C93" s="17">
        <v>1186.8928571428571</v>
      </c>
      <c r="D93" s="15">
        <v>3.8894736842105258</v>
      </c>
      <c r="E93" s="17">
        <v>132932</v>
      </c>
    </row>
    <row r="96" spans="1:5" x14ac:dyDescent="0.35">
      <c r="A96" s="11" t="s">
        <v>147</v>
      </c>
      <c r="B96" s="11" t="s">
        <v>146</v>
      </c>
    </row>
    <row r="97" spans="1:5" x14ac:dyDescent="0.35">
      <c r="A97" s="11" t="s">
        <v>132</v>
      </c>
      <c r="B97" t="s">
        <v>125</v>
      </c>
      <c r="C97" t="s">
        <v>126</v>
      </c>
      <c r="D97" t="s">
        <v>124</v>
      </c>
      <c r="E97" t="s">
        <v>133</v>
      </c>
    </row>
    <row r="98" spans="1:5" x14ac:dyDescent="0.35">
      <c r="A98" s="12" t="s">
        <v>119</v>
      </c>
      <c r="B98">
        <v>9</v>
      </c>
      <c r="D98">
        <v>11</v>
      </c>
      <c r="E98">
        <v>20</v>
      </c>
    </row>
    <row r="99" spans="1:5" x14ac:dyDescent="0.35">
      <c r="A99" s="12" t="s">
        <v>120</v>
      </c>
      <c r="B99">
        <v>11</v>
      </c>
      <c r="C99">
        <v>3</v>
      </c>
      <c r="D99">
        <v>8</v>
      </c>
      <c r="E99">
        <v>22</v>
      </c>
    </row>
    <row r="100" spans="1:5" x14ac:dyDescent="0.35">
      <c r="A100" s="12" t="s">
        <v>366</v>
      </c>
      <c r="B100">
        <v>32</v>
      </c>
      <c r="C100">
        <v>13</v>
      </c>
      <c r="D100">
        <v>10</v>
      </c>
      <c r="E100">
        <v>55</v>
      </c>
    </row>
    <row r="101" spans="1:5" x14ac:dyDescent="0.35">
      <c r="A101" s="12" t="s">
        <v>131</v>
      </c>
      <c r="B101">
        <v>11</v>
      </c>
      <c r="C101">
        <v>2</v>
      </c>
      <c r="D101">
        <v>2</v>
      </c>
      <c r="E101">
        <v>15</v>
      </c>
    </row>
    <row r="102" spans="1:5" x14ac:dyDescent="0.35">
      <c r="A102" s="12" t="s">
        <v>133</v>
      </c>
      <c r="B102">
        <v>63</v>
      </c>
      <c r="C102">
        <v>18</v>
      </c>
      <c r="D102">
        <v>31</v>
      </c>
      <c r="E102">
        <v>112</v>
      </c>
    </row>
    <row r="107" spans="1:5" x14ac:dyDescent="0.35">
      <c r="A107" s="11" t="s">
        <v>132</v>
      </c>
      <c r="B107" t="s">
        <v>363</v>
      </c>
      <c r="C107" t="s">
        <v>365</v>
      </c>
      <c r="D107" t="s">
        <v>140</v>
      </c>
      <c r="E107" t="s">
        <v>364</v>
      </c>
    </row>
    <row r="108" spans="1:5" x14ac:dyDescent="0.35">
      <c r="A108" s="12" t="s">
        <v>9</v>
      </c>
      <c r="B108" s="4">
        <v>2319</v>
      </c>
      <c r="C108">
        <v>55</v>
      </c>
      <c r="D108">
        <v>4.5999999999999996</v>
      </c>
      <c r="E108" s="1">
        <v>0.24</v>
      </c>
    </row>
    <row r="109" spans="1:5" x14ac:dyDescent="0.35">
      <c r="A109" s="12" t="s">
        <v>22</v>
      </c>
      <c r="B109" s="4">
        <v>998</v>
      </c>
      <c r="C109">
        <v>44</v>
      </c>
      <c r="D109">
        <v>4.5999999999999996</v>
      </c>
      <c r="E109" s="1">
        <v>0.49</v>
      </c>
    </row>
    <row r="110" spans="1:5" x14ac:dyDescent="0.35">
      <c r="A110" s="12" t="s">
        <v>14</v>
      </c>
      <c r="B110" s="4">
        <v>990</v>
      </c>
      <c r="C110">
        <v>39</v>
      </c>
      <c r="D110">
        <v>4.7</v>
      </c>
      <c r="E110" s="1">
        <v>0.34</v>
      </c>
    </row>
    <row r="111" spans="1:5" x14ac:dyDescent="0.35">
      <c r="A111" s="12" t="s">
        <v>64</v>
      </c>
      <c r="B111" s="4">
        <v>445</v>
      </c>
      <c r="C111">
        <v>69</v>
      </c>
      <c r="D111">
        <v>2.8</v>
      </c>
      <c r="E111" s="1">
        <v>0.49</v>
      </c>
    </row>
    <row r="112" spans="1:5" x14ac:dyDescent="0.35">
      <c r="A112" s="12" t="s">
        <v>28</v>
      </c>
      <c r="B112" s="4">
        <v>420</v>
      </c>
      <c r="C112">
        <v>49</v>
      </c>
      <c r="D112">
        <v>4.5999999999999996</v>
      </c>
      <c r="E112" s="1">
        <v>0.35</v>
      </c>
    </row>
    <row r="113" spans="1:5" x14ac:dyDescent="0.35">
      <c r="A113" s="12" t="s">
        <v>133</v>
      </c>
      <c r="B113" s="4">
        <v>2319</v>
      </c>
      <c r="C113">
        <v>69</v>
      </c>
      <c r="D113">
        <v>4.7</v>
      </c>
      <c r="E113" s="1">
        <v>0.49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F264-207C-4AC8-8127-476680AB8A65}">
  <dimension ref="A1"/>
  <sheetViews>
    <sheetView topLeftCell="A27" zoomScale="43" workbookViewId="0">
      <selection activeCell="B49" sqref="B49"/>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F869-D0A5-4D92-92F1-859836BCE983}">
  <dimension ref="H17"/>
  <sheetViews>
    <sheetView showGridLines="0" tabSelected="1" topLeftCell="A6" zoomScale="42" zoomScaleNormal="40" workbookViewId="0">
      <selection activeCell="W45" sqref="W45"/>
    </sheetView>
  </sheetViews>
  <sheetFormatPr defaultRowHeight="14.5" x14ac:dyDescent="0.35"/>
  <cols>
    <col min="1" max="1" width="18.81640625" style="16" customWidth="1"/>
    <col min="2" max="2" width="8.7265625" style="16"/>
    <col min="3" max="14" width="15.1796875" style="16" customWidth="1"/>
    <col min="15" max="16384" width="8.7265625" style="16"/>
  </cols>
  <sheetData>
    <row r="17" spans="8:8" x14ac:dyDescent="0.35">
      <c r="H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Raw_Jumia Data</vt:lpstr>
      <vt:lpstr>Cleaned_Jumia Data</vt:lpstr>
      <vt:lpstr>Pivot_tables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dc:creator>
  <cp:lastModifiedBy>_ Nyabuto</cp:lastModifiedBy>
  <dcterms:created xsi:type="dcterms:W3CDTF">2026-04-30T11:51:38Z</dcterms:created>
  <dcterms:modified xsi:type="dcterms:W3CDTF">2026-05-05T19:47:52Z</dcterms:modified>
</cp:coreProperties>
</file>